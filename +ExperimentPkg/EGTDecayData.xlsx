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279bc981ad399937/Desktop/phdshit/ideas/FAST/^MExperimentPkg/"/>
    </mc:Choice>
  </mc:AlternateContent>
  <xr:revisionPtr revIDLastSave="116" documentId="11_F25DC773A252ABDACC1048AE315C4FCC5ADE58E9" xr6:coauthVersionLast="47" xr6:coauthVersionMax="47" xr10:uidLastSave="{E763F214-1117-4206-863C-312E129C1CBC}"/>
  <bookViews>
    <workbookView xWindow="10350" yWindow="4000" windowWidth="13630" windowHeight="11650" xr2:uid="{00000000-000D-0000-FFFF-FFFF00000000}"/>
  </bookViews>
  <sheets>
    <sheet name="SV_cycle" sheetId="2" r:id="rId1"/>
    <sheet name="EGTdecay_cyc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L17" i="1"/>
  <c r="M17" i="1" s="1"/>
  <c r="N17" i="1" s="1"/>
  <c r="K18" i="1"/>
  <c r="L18" i="1" s="1"/>
  <c r="M18" i="1" s="1"/>
  <c r="N18" i="1" s="1"/>
  <c r="K19" i="1"/>
  <c r="L19" i="1" s="1"/>
  <c r="M19" i="1" s="1"/>
  <c r="N19" i="1" s="1"/>
  <c r="J13" i="1"/>
  <c r="K13" i="1" s="1"/>
  <c r="L13" i="1" s="1"/>
  <c r="M13" i="1" s="1"/>
  <c r="N13" i="1" s="1"/>
  <c r="J14" i="1"/>
  <c r="K14" i="1" s="1"/>
  <c r="L14" i="1" s="1"/>
  <c r="M14" i="1" s="1"/>
  <c r="N14" i="1" s="1"/>
  <c r="J15" i="1"/>
  <c r="K15" i="1" s="1"/>
  <c r="L15" i="1" s="1"/>
  <c r="M15" i="1" s="1"/>
  <c r="N15" i="1" s="1"/>
  <c r="J16" i="1"/>
  <c r="K16" i="1" s="1"/>
  <c r="L16" i="1" s="1"/>
  <c r="M16" i="1" s="1"/>
  <c r="N16" i="1" s="1"/>
  <c r="J17" i="1"/>
  <c r="J18" i="1"/>
  <c r="J19" i="1"/>
  <c r="J20" i="1"/>
  <c r="K20" i="1" s="1"/>
  <c r="L20" i="1" s="1"/>
  <c r="M20" i="1" s="1"/>
  <c r="N20" i="1" s="1"/>
  <c r="J12" i="1"/>
  <c r="K12" i="1" s="1"/>
  <c r="L12" i="1" s="1"/>
  <c r="M12" i="1" s="1"/>
  <c r="N12" i="1" s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" i="2"/>
  <c r="F13" i="2"/>
  <c r="F12" i="2"/>
  <c r="D14" i="2"/>
  <c r="D15" i="2"/>
  <c r="D16" i="2"/>
  <c r="D17" i="2"/>
  <c r="D18" i="2"/>
  <c r="D19" i="2"/>
  <c r="D20" i="2"/>
  <c r="D13" i="2"/>
  <c r="D14" i="1"/>
  <c r="D15" i="1"/>
  <c r="D16" i="1"/>
  <c r="D17" i="1"/>
  <c r="D18" i="1"/>
  <c r="D19" i="1"/>
  <c r="D20" i="1"/>
  <c r="D13" i="1"/>
  <c r="F20" i="2"/>
  <c r="F19" i="2"/>
  <c r="F18" i="2"/>
  <c r="F17" i="2"/>
  <c r="F16" i="2"/>
  <c r="F15" i="2"/>
  <c r="F3" i="2"/>
  <c r="F4" i="2"/>
  <c r="F5" i="2"/>
  <c r="F2" i="2"/>
  <c r="D10" i="2"/>
  <c r="D9" i="2"/>
  <c r="D8" i="2"/>
  <c r="D7" i="2"/>
  <c r="D6" i="2"/>
  <c r="D5" i="2"/>
  <c r="D4" i="2"/>
  <c r="D3" i="2"/>
  <c r="J11" i="1"/>
  <c r="K11" i="1" s="1"/>
  <c r="L11" i="1" s="1"/>
  <c r="M11" i="1" s="1"/>
  <c r="N11" i="1" s="1"/>
  <c r="J10" i="1"/>
  <c r="K10" i="1" s="1"/>
  <c r="L10" i="1" s="1"/>
  <c r="M10" i="1" s="1"/>
  <c r="N10" i="1" s="1"/>
  <c r="D10" i="1"/>
  <c r="J9" i="1"/>
  <c r="K9" i="1" s="1"/>
  <c r="L9" i="1" s="1"/>
  <c r="M9" i="1" s="1"/>
  <c r="N9" i="1" s="1"/>
  <c r="D9" i="1"/>
  <c r="J8" i="1"/>
  <c r="K8" i="1" s="1"/>
  <c r="L8" i="1" s="1"/>
  <c r="M8" i="1" s="1"/>
  <c r="N8" i="1" s="1"/>
  <c r="D8" i="1"/>
  <c r="J7" i="1"/>
  <c r="K7" i="1" s="1"/>
  <c r="L7" i="1" s="1"/>
  <c r="M7" i="1" s="1"/>
  <c r="N7" i="1" s="1"/>
  <c r="D7" i="1"/>
  <c r="J6" i="1"/>
  <c r="K6" i="1" s="1"/>
  <c r="L6" i="1" s="1"/>
  <c r="M6" i="1" s="1"/>
  <c r="N6" i="1" s="1"/>
  <c r="D6" i="1"/>
  <c r="D5" i="1"/>
  <c r="D4" i="1"/>
  <c r="D3" i="1"/>
</calcChain>
</file>

<file path=xl/sharedStrings.xml><?xml version="1.0" encoding="utf-8"?>
<sst xmlns="http://schemas.openxmlformats.org/spreadsheetml/2006/main" count="101" uniqueCount="39">
  <si>
    <t>Engine</t>
  </si>
  <si>
    <t>Variant</t>
  </si>
  <si>
    <t>SV1</t>
  </si>
  <si>
    <t>SV2</t>
  </si>
  <si>
    <t>SV3</t>
  </si>
  <si>
    <t>CFM56-3</t>
  </si>
  <si>
    <t>C1</t>
  </si>
  <si>
    <t>V2522-A5</t>
  </si>
  <si>
    <t>A5</t>
  </si>
  <si>
    <t>V2524-A5</t>
  </si>
  <si>
    <t>V2527-M-A5</t>
  </si>
  <si>
    <t>V2527-A5</t>
  </si>
  <si>
    <t>V2530-A5</t>
  </si>
  <si>
    <t>V2533-A5</t>
  </si>
  <si>
    <t>Thrust</t>
  </si>
  <si>
    <t>Derate</t>
  </si>
  <si>
    <t>EGT_Margin</t>
  </si>
  <si>
    <t>0c</t>
  </si>
  <si>
    <t>1000c</t>
  </si>
  <si>
    <t>2000c</t>
  </si>
  <si>
    <t>3000c</t>
  </si>
  <si>
    <t>4000c</t>
  </si>
  <si>
    <t>5000c</t>
  </si>
  <si>
    <t>6000c</t>
  </si>
  <si>
    <t>7000c</t>
  </si>
  <si>
    <t>Ratec</t>
  </si>
  <si>
    <t>Mature_EGT</t>
  </si>
  <si>
    <t>CFM56-5B3</t>
  </si>
  <si>
    <t>5B</t>
  </si>
  <si>
    <t>CFM56-5B2</t>
  </si>
  <si>
    <t>CFM56-5B1</t>
  </si>
  <si>
    <t>CFM56-5B7</t>
  </si>
  <si>
    <t>CFM56-5B4</t>
  </si>
  <si>
    <t>CFM56-5B6</t>
  </si>
  <si>
    <t>CFM56-5B5</t>
  </si>
  <si>
    <t>CFM56-5B8</t>
  </si>
  <si>
    <t>CFM56-5B9</t>
  </si>
  <si>
    <t>totSV2</t>
  </si>
  <si>
    <t>totSV3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</si>
</sst>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 wrapText="1"/>
    </xf>
    <xf numFmtId="1" fontId="0" fillId="0" borderId="0" xfId="1" applyNumberFormat="1" applyFont="1"/>
    <xf numFmtId="165" fontId="0" fillId="0" borderId="0" xfId="2" applyNumberFormat="1" applyFont="1"/>
    <xf numFmtId="166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FDB8-0139-4634-92E7-683DB926A4B4}">
  <dimension ref="A1:AK20"/>
  <sheetViews>
    <sheetView tabSelected="1" workbookViewId="0">
      <selection activeCell="I14" sqref="I14"/>
    </sheetView>
  </sheetViews>
  <sheetFormatPr defaultRowHeight="14.5" x14ac:dyDescent="0.35"/>
  <cols>
    <col min="1" max="1" width="12.08984375" customWidth="1"/>
    <col min="5" max="5" width="12.08984375" customWidth="1"/>
    <col min="6" max="6" width="11.90625" customWidth="1"/>
    <col min="7" max="7" width="13.36328125" customWidth="1"/>
  </cols>
  <sheetData>
    <row r="1" spans="1:37" s="4" customFormat="1" ht="25.5" customHeight="1" x14ac:dyDescent="0.35">
      <c r="A1" s="3" t="s">
        <v>0</v>
      </c>
      <c r="B1" s="4" t="s">
        <v>1</v>
      </c>
      <c r="C1" s="4" t="s">
        <v>14</v>
      </c>
      <c r="D1" s="5" t="s">
        <v>15</v>
      </c>
      <c r="E1" s="6" t="s">
        <v>16</v>
      </c>
      <c r="F1" s="6" t="s">
        <v>26</v>
      </c>
      <c r="G1" s="4" t="s">
        <v>2</v>
      </c>
      <c r="H1" s="4" t="s">
        <v>3</v>
      </c>
      <c r="I1" s="4" t="s">
        <v>4</v>
      </c>
      <c r="J1" s="4" t="s">
        <v>37</v>
      </c>
      <c r="K1" s="4" t="s">
        <v>38</v>
      </c>
      <c r="Y1"/>
      <c r="Z1"/>
      <c r="AA1"/>
      <c r="AB1"/>
      <c r="AC1"/>
      <c r="AD1"/>
      <c r="AE1"/>
      <c r="AF1"/>
      <c r="AG1"/>
      <c r="AH1"/>
      <c r="AI1"/>
      <c r="AJ1"/>
      <c r="AK1"/>
    </row>
    <row r="2" spans="1:37" x14ac:dyDescent="0.35">
      <c r="A2" t="s">
        <v>5</v>
      </c>
      <c r="B2" t="s">
        <v>6</v>
      </c>
      <c r="C2">
        <v>23500</v>
      </c>
      <c r="D2" s="1">
        <v>0</v>
      </c>
      <c r="E2" s="2">
        <v>53</v>
      </c>
      <c r="F2" s="2">
        <f>E2*0.8</f>
        <v>42.400000000000006</v>
      </c>
      <c r="G2">
        <v>6000</v>
      </c>
      <c r="H2">
        <v>4800</v>
      </c>
      <c r="I2">
        <v>4100</v>
      </c>
      <c r="J2">
        <f>H2+G2</f>
        <v>10800</v>
      </c>
      <c r="K2">
        <f>J2+I2</f>
        <v>14900</v>
      </c>
    </row>
    <row r="3" spans="1:37" ht="16" customHeight="1" x14ac:dyDescent="0.35">
      <c r="A3" t="s">
        <v>5</v>
      </c>
      <c r="B3" t="s">
        <v>6</v>
      </c>
      <c r="C3">
        <v>22000</v>
      </c>
      <c r="D3" s="1">
        <f>(C$2-C3)/C$2</f>
        <v>6.3829787234042548E-2</v>
      </c>
      <c r="E3" s="2">
        <v>75</v>
      </c>
      <c r="F3" s="2">
        <f t="shared" ref="F3:F5" si="0">E3*0.8</f>
        <v>60</v>
      </c>
      <c r="G3">
        <v>6700</v>
      </c>
      <c r="H3">
        <v>5300</v>
      </c>
      <c r="I3">
        <v>4500</v>
      </c>
      <c r="J3">
        <f t="shared" ref="J3:J20" si="1">H3+G3</f>
        <v>12000</v>
      </c>
      <c r="K3">
        <f t="shared" ref="K3:K20" si="2">J3+I3</f>
        <v>16500</v>
      </c>
      <c r="T3" s="4"/>
    </row>
    <row r="4" spans="1:37" x14ac:dyDescent="0.35">
      <c r="A4" t="s">
        <v>5</v>
      </c>
      <c r="B4" t="s">
        <v>6</v>
      </c>
      <c r="C4">
        <v>20000</v>
      </c>
      <c r="D4" s="1">
        <f t="shared" ref="D4:D5" si="3">(C$2-C4)/C$2</f>
        <v>0.14893617021276595</v>
      </c>
      <c r="E4" s="2">
        <v>140</v>
      </c>
      <c r="F4" s="2">
        <f t="shared" si="0"/>
        <v>112</v>
      </c>
      <c r="G4">
        <v>7600</v>
      </c>
      <c r="H4">
        <v>6000</v>
      </c>
      <c r="I4">
        <v>5200</v>
      </c>
      <c r="J4">
        <f t="shared" si="1"/>
        <v>13600</v>
      </c>
      <c r="K4">
        <f t="shared" si="2"/>
        <v>18800</v>
      </c>
    </row>
    <row r="5" spans="1:37" x14ac:dyDescent="0.35">
      <c r="A5" t="s">
        <v>5</v>
      </c>
      <c r="B5" t="s">
        <v>6</v>
      </c>
      <c r="C5">
        <v>18500</v>
      </c>
      <c r="D5" s="1">
        <f t="shared" si="3"/>
        <v>0.21276595744680851</v>
      </c>
      <c r="E5" s="2">
        <v>145</v>
      </c>
      <c r="F5" s="2">
        <f t="shared" si="0"/>
        <v>116</v>
      </c>
      <c r="G5">
        <v>8200</v>
      </c>
      <c r="H5">
        <v>6500</v>
      </c>
      <c r="I5">
        <v>5600</v>
      </c>
      <c r="J5">
        <f t="shared" si="1"/>
        <v>14700</v>
      </c>
      <c r="K5">
        <f t="shared" si="2"/>
        <v>20300</v>
      </c>
    </row>
    <row r="6" spans="1:37" x14ac:dyDescent="0.35">
      <c r="A6" t="s">
        <v>7</v>
      </c>
      <c r="B6" t="s">
        <v>8</v>
      </c>
      <c r="C6" s="7">
        <v>23040</v>
      </c>
      <c r="D6" s="1">
        <f t="shared" ref="D6:D9" si="4">(C$11-C6)/C$11</f>
        <v>0.27088607594936709</v>
      </c>
      <c r="E6">
        <v>100</v>
      </c>
      <c r="F6">
        <v>75</v>
      </c>
      <c r="G6">
        <v>11000</v>
      </c>
      <c r="H6">
        <v>9000</v>
      </c>
      <c r="I6">
        <v>9000</v>
      </c>
      <c r="J6">
        <f t="shared" si="1"/>
        <v>20000</v>
      </c>
      <c r="K6">
        <f t="shared" si="2"/>
        <v>29000</v>
      </c>
    </row>
    <row r="7" spans="1:37" x14ac:dyDescent="0.35">
      <c r="A7" t="s">
        <v>9</v>
      </c>
      <c r="B7" t="s">
        <v>8</v>
      </c>
      <c r="C7" s="7">
        <v>24480</v>
      </c>
      <c r="D7" s="1">
        <f t="shared" si="4"/>
        <v>0.22531645569620254</v>
      </c>
      <c r="E7">
        <v>90</v>
      </c>
      <c r="F7">
        <v>75</v>
      </c>
      <c r="G7">
        <v>11000</v>
      </c>
      <c r="H7">
        <v>9000</v>
      </c>
      <c r="I7">
        <v>9000</v>
      </c>
      <c r="J7">
        <f t="shared" si="1"/>
        <v>20000</v>
      </c>
      <c r="K7">
        <f t="shared" si="2"/>
        <v>29000</v>
      </c>
    </row>
    <row r="8" spans="1:37" x14ac:dyDescent="0.35">
      <c r="A8" t="s">
        <v>10</v>
      </c>
      <c r="B8" t="s">
        <v>8</v>
      </c>
      <c r="C8" s="7">
        <v>24800</v>
      </c>
      <c r="D8" s="1">
        <f t="shared" si="4"/>
        <v>0.21518987341772153</v>
      </c>
      <c r="E8">
        <v>80</v>
      </c>
      <c r="F8">
        <v>65</v>
      </c>
      <c r="G8">
        <v>9000</v>
      </c>
      <c r="H8">
        <v>8000</v>
      </c>
      <c r="I8">
        <v>9000</v>
      </c>
      <c r="J8">
        <f t="shared" si="1"/>
        <v>17000</v>
      </c>
      <c r="K8">
        <f t="shared" si="2"/>
        <v>26000</v>
      </c>
    </row>
    <row r="9" spans="1:37" x14ac:dyDescent="0.35">
      <c r="A9" t="s">
        <v>11</v>
      </c>
      <c r="B9" t="s">
        <v>8</v>
      </c>
      <c r="C9" s="7">
        <v>24800</v>
      </c>
      <c r="D9" s="1">
        <f t="shared" si="4"/>
        <v>0.21518987341772153</v>
      </c>
      <c r="E9">
        <v>70</v>
      </c>
      <c r="F9">
        <v>55</v>
      </c>
      <c r="G9">
        <v>8750</v>
      </c>
      <c r="H9">
        <v>7750</v>
      </c>
      <c r="I9">
        <v>7000</v>
      </c>
      <c r="J9">
        <f t="shared" si="1"/>
        <v>16500</v>
      </c>
      <c r="K9">
        <f t="shared" si="2"/>
        <v>23500</v>
      </c>
    </row>
    <row r="10" spans="1:37" x14ac:dyDescent="0.35">
      <c r="A10" t="s">
        <v>12</v>
      </c>
      <c r="B10" t="s">
        <v>8</v>
      </c>
      <c r="C10" s="7">
        <v>29900</v>
      </c>
      <c r="D10" s="1">
        <f>(C$11-C10)/C$11</f>
        <v>5.3797468354430382E-2</v>
      </c>
      <c r="E10">
        <v>55</v>
      </c>
      <c r="F10">
        <v>45</v>
      </c>
      <c r="G10">
        <v>7000</v>
      </c>
      <c r="H10">
        <v>5750</v>
      </c>
      <c r="I10">
        <v>5750</v>
      </c>
      <c r="J10">
        <f t="shared" si="1"/>
        <v>12750</v>
      </c>
      <c r="K10">
        <f t="shared" si="2"/>
        <v>18500</v>
      </c>
    </row>
    <row r="11" spans="1:37" x14ac:dyDescent="0.35">
      <c r="A11" t="s">
        <v>13</v>
      </c>
      <c r="B11" t="s">
        <v>8</v>
      </c>
      <c r="C11" s="7">
        <v>31600</v>
      </c>
      <c r="D11" s="1">
        <v>0</v>
      </c>
      <c r="E11">
        <v>45</v>
      </c>
      <c r="F11">
        <v>35</v>
      </c>
      <c r="G11">
        <v>7000</v>
      </c>
      <c r="H11">
        <v>5750</v>
      </c>
      <c r="I11">
        <v>5750</v>
      </c>
      <c r="J11">
        <f t="shared" si="1"/>
        <v>12750</v>
      </c>
      <c r="K11">
        <f t="shared" si="2"/>
        <v>18500</v>
      </c>
    </row>
    <row r="12" spans="1:37" x14ac:dyDescent="0.35">
      <c r="A12" t="s">
        <v>27</v>
      </c>
      <c r="B12" t="s">
        <v>28</v>
      </c>
      <c r="C12" s="8">
        <v>32000</v>
      </c>
      <c r="D12" s="1">
        <v>0</v>
      </c>
      <c r="E12" s="2">
        <v>66</v>
      </c>
      <c r="F12" s="2">
        <f>E12*0.8</f>
        <v>52.800000000000004</v>
      </c>
      <c r="G12">
        <v>8000</v>
      </c>
      <c r="H12">
        <v>6000</v>
      </c>
      <c r="I12">
        <v>6000</v>
      </c>
      <c r="J12">
        <f t="shared" si="1"/>
        <v>14000</v>
      </c>
      <c r="K12">
        <f t="shared" si="2"/>
        <v>20000</v>
      </c>
      <c r="R12" s="9">
        <v>7</v>
      </c>
    </row>
    <row r="13" spans="1:37" x14ac:dyDescent="0.35">
      <c r="A13" t="s">
        <v>29</v>
      </c>
      <c r="B13" t="s">
        <v>28</v>
      </c>
      <c r="C13" s="8">
        <v>31000</v>
      </c>
      <c r="D13" s="1">
        <f>(C$12-C13)/C$12</f>
        <v>3.125E-2</v>
      </c>
      <c r="E13" s="2">
        <v>95</v>
      </c>
      <c r="F13" s="2">
        <f>E13*0.8</f>
        <v>76</v>
      </c>
      <c r="G13">
        <v>10000</v>
      </c>
      <c r="H13">
        <v>7000</v>
      </c>
      <c r="I13">
        <v>6000</v>
      </c>
      <c r="J13">
        <f t="shared" si="1"/>
        <v>17000</v>
      </c>
      <c r="K13">
        <f t="shared" si="2"/>
        <v>23000</v>
      </c>
      <c r="R13" s="9">
        <v>6</v>
      </c>
    </row>
    <row r="14" spans="1:37" x14ac:dyDescent="0.35">
      <c r="A14" t="s">
        <v>30</v>
      </c>
      <c r="B14" t="s">
        <v>28</v>
      </c>
      <c r="C14" s="8">
        <v>30000</v>
      </c>
      <c r="D14" s="1">
        <f t="shared" ref="D14:D20" si="5">(C$12-C14)/C$12</f>
        <v>6.25E-2</v>
      </c>
      <c r="E14" s="2">
        <v>105</v>
      </c>
      <c r="F14">
        <v>80</v>
      </c>
      <c r="G14">
        <v>11000</v>
      </c>
      <c r="H14">
        <v>8000</v>
      </c>
      <c r="I14">
        <v>7000</v>
      </c>
      <c r="J14">
        <f t="shared" si="1"/>
        <v>19000</v>
      </c>
      <c r="K14">
        <f t="shared" si="2"/>
        <v>26000</v>
      </c>
      <c r="R14" s="9"/>
    </row>
    <row r="15" spans="1:37" x14ac:dyDescent="0.35">
      <c r="A15" t="s">
        <v>31</v>
      </c>
      <c r="B15" t="s">
        <v>28</v>
      </c>
      <c r="C15" s="8">
        <v>27000</v>
      </c>
      <c r="D15" s="1">
        <f t="shared" si="5"/>
        <v>0.15625</v>
      </c>
      <c r="E15" s="2">
        <v>109</v>
      </c>
      <c r="F15">
        <f>E15*0.8</f>
        <v>87.2</v>
      </c>
      <c r="G15">
        <v>18000</v>
      </c>
      <c r="H15">
        <v>10000</v>
      </c>
      <c r="I15">
        <v>8000</v>
      </c>
      <c r="J15">
        <f t="shared" si="1"/>
        <v>28000</v>
      </c>
      <c r="K15">
        <f t="shared" si="2"/>
        <v>36000</v>
      </c>
      <c r="R15" s="9">
        <v>4</v>
      </c>
    </row>
    <row r="16" spans="1:37" x14ac:dyDescent="0.35">
      <c r="A16" t="s">
        <v>32</v>
      </c>
      <c r="B16" t="s">
        <v>28</v>
      </c>
      <c r="C16" s="8">
        <v>27000</v>
      </c>
      <c r="D16" s="1">
        <f t="shared" si="5"/>
        <v>0.15625</v>
      </c>
      <c r="E16" s="2">
        <v>109</v>
      </c>
      <c r="F16">
        <f>E16*0.8</f>
        <v>87.2</v>
      </c>
      <c r="G16">
        <v>18000</v>
      </c>
      <c r="H16">
        <v>10000</v>
      </c>
      <c r="I16">
        <v>8000</v>
      </c>
      <c r="J16">
        <f t="shared" si="1"/>
        <v>28000</v>
      </c>
      <c r="K16">
        <f t="shared" si="2"/>
        <v>36000</v>
      </c>
      <c r="R16" s="9">
        <v>4</v>
      </c>
    </row>
    <row r="17" spans="1:18" x14ac:dyDescent="0.35">
      <c r="A17" t="s">
        <v>33</v>
      </c>
      <c r="B17" t="s">
        <v>28</v>
      </c>
      <c r="C17" s="8">
        <v>23500</v>
      </c>
      <c r="D17" s="1">
        <f t="shared" si="5"/>
        <v>0.265625</v>
      </c>
      <c r="E17" s="2">
        <v>145</v>
      </c>
      <c r="F17">
        <f>E17*0.78</f>
        <v>113.10000000000001</v>
      </c>
      <c r="G17">
        <v>19000</v>
      </c>
      <c r="H17">
        <v>11000</v>
      </c>
      <c r="I17">
        <v>9000</v>
      </c>
      <c r="J17">
        <f t="shared" si="1"/>
        <v>30000</v>
      </c>
      <c r="K17">
        <f t="shared" si="2"/>
        <v>39000</v>
      </c>
      <c r="R17" s="9"/>
    </row>
    <row r="18" spans="1:18" x14ac:dyDescent="0.35">
      <c r="A18" t="s">
        <v>34</v>
      </c>
      <c r="B18" t="s">
        <v>28</v>
      </c>
      <c r="C18" s="8">
        <v>22000</v>
      </c>
      <c r="D18" s="1">
        <f t="shared" si="5"/>
        <v>0.3125</v>
      </c>
      <c r="E18" s="2">
        <v>163</v>
      </c>
      <c r="F18">
        <f t="shared" ref="F18:F20" si="6">E18*0.78</f>
        <v>127.14</v>
      </c>
      <c r="G18">
        <v>20000</v>
      </c>
      <c r="H18">
        <v>12000</v>
      </c>
      <c r="I18">
        <v>10000</v>
      </c>
      <c r="J18">
        <f t="shared" si="1"/>
        <v>32000</v>
      </c>
      <c r="K18">
        <f t="shared" si="2"/>
        <v>42000</v>
      </c>
      <c r="R18" s="9"/>
    </row>
    <row r="19" spans="1:18" x14ac:dyDescent="0.35">
      <c r="A19" t="s">
        <v>35</v>
      </c>
      <c r="B19" t="s">
        <v>28</v>
      </c>
      <c r="C19" s="8">
        <v>21600</v>
      </c>
      <c r="D19" s="1">
        <f t="shared" si="5"/>
        <v>0.32500000000000001</v>
      </c>
      <c r="E19" s="2">
        <v>180</v>
      </c>
      <c r="F19">
        <f t="shared" si="6"/>
        <v>140.4</v>
      </c>
      <c r="G19">
        <v>20000</v>
      </c>
      <c r="H19">
        <v>12000</v>
      </c>
      <c r="I19">
        <v>10000</v>
      </c>
      <c r="J19">
        <f t="shared" si="1"/>
        <v>32000</v>
      </c>
      <c r="K19">
        <f t="shared" si="2"/>
        <v>42000</v>
      </c>
      <c r="R19" s="9">
        <v>3</v>
      </c>
    </row>
    <row r="20" spans="1:18" x14ac:dyDescent="0.35">
      <c r="A20" t="s">
        <v>36</v>
      </c>
      <c r="B20" t="s">
        <v>28</v>
      </c>
      <c r="C20" s="8">
        <v>23300</v>
      </c>
      <c r="D20" s="1">
        <f t="shared" si="5"/>
        <v>0.27187499999999998</v>
      </c>
      <c r="E20" s="2">
        <v>145</v>
      </c>
      <c r="F20">
        <f t="shared" si="6"/>
        <v>113.10000000000001</v>
      </c>
      <c r="G20">
        <v>19000</v>
      </c>
      <c r="H20">
        <v>11000</v>
      </c>
      <c r="I20">
        <v>9000</v>
      </c>
      <c r="J20">
        <f t="shared" si="1"/>
        <v>30000</v>
      </c>
      <c r="K20">
        <f t="shared" si="2"/>
        <v>39000</v>
      </c>
      <c r="R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"/>
  <sheetViews>
    <sheetView workbookViewId="0">
      <selection activeCell="L1" sqref="L1:N1"/>
    </sheetView>
  </sheetViews>
  <sheetFormatPr defaultRowHeight="14.5" x14ac:dyDescent="0.35"/>
  <cols>
    <col min="5" max="6" width="11.36328125" customWidth="1"/>
  </cols>
  <sheetData>
    <row r="1" spans="1:34" s="4" customFormat="1" ht="25.5" customHeight="1" x14ac:dyDescent="0.35">
      <c r="A1" s="3" t="s">
        <v>0</v>
      </c>
      <c r="B1" s="4" t="s">
        <v>1</v>
      </c>
      <c r="C1" s="4" t="s">
        <v>14</v>
      </c>
      <c r="D1" s="5" t="s">
        <v>15</v>
      </c>
      <c r="E1" s="6" t="s">
        <v>16</v>
      </c>
      <c r="F1" s="4" t="s">
        <v>25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V1"/>
      <c r="W1"/>
      <c r="X1"/>
      <c r="Y1"/>
      <c r="Z1"/>
      <c r="AA1"/>
      <c r="AB1"/>
      <c r="AC1"/>
      <c r="AD1"/>
      <c r="AE1"/>
      <c r="AF1"/>
      <c r="AG1"/>
      <c r="AH1"/>
    </row>
    <row r="2" spans="1:34" x14ac:dyDescent="0.35">
      <c r="A2" t="s">
        <v>5</v>
      </c>
      <c r="B2" t="s">
        <v>6</v>
      </c>
      <c r="C2">
        <v>23500</v>
      </c>
      <c r="D2" s="1">
        <v>0</v>
      </c>
      <c r="E2" s="2">
        <v>53</v>
      </c>
      <c r="F2">
        <v>3</v>
      </c>
      <c r="G2">
        <v>0</v>
      </c>
      <c r="H2">
        <v>10</v>
      </c>
      <c r="I2">
        <v>15</v>
      </c>
      <c r="J2">
        <v>19</v>
      </c>
      <c r="K2">
        <v>23</v>
      </c>
      <c r="L2">
        <v>26</v>
      </c>
      <c r="M2">
        <v>29</v>
      </c>
      <c r="N2">
        <v>32</v>
      </c>
    </row>
    <row r="3" spans="1:34" ht="16" customHeight="1" x14ac:dyDescent="0.35">
      <c r="A3" t="s">
        <v>5</v>
      </c>
      <c r="B3" t="s">
        <v>6</v>
      </c>
      <c r="C3">
        <v>22000</v>
      </c>
      <c r="D3" s="1">
        <f>(C$2-C3)/C$2</f>
        <v>6.3829787234042548E-2</v>
      </c>
      <c r="E3" s="2">
        <v>75</v>
      </c>
      <c r="F3">
        <v>2.5</v>
      </c>
      <c r="G3">
        <v>0</v>
      </c>
      <c r="H3">
        <v>7</v>
      </c>
      <c r="I3">
        <v>11</v>
      </c>
      <c r="J3">
        <v>14</v>
      </c>
      <c r="K3">
        <v>17</v>
      </c>
      <c r="L3">
        <v>19</v>
      </c>
      <c r="M3">
        <v>22</v>
      </c>
      <c r="N3">
        <v>24</v>
      </c>
      <c r="Q3" s="4"/>
    </row>
    <row r="4" spans="1:34" x14ac:dyDescent="0.35">
      <c r="A4" t="s">
        <v>5</v>
      </c>
      <c r="B4" t="s">
        <v>6</v>
      </c>
      <c r="C4">
        <v>20000</v>
      </c>
      <c r="D4" s="1">
        <f t="shared" ref="D4:D5" si="0">(C$2-C4)/C$2</f>
        <v>0.14893617021276595</v>
      </c>
      <c r="E4" s="2">
        <v>140</v>
      </c>
      <c r="F4">
        <v>2</v>
      </c>
      <c r="G4">
        <v>0</v>
      </c>
      <c r="H4">
        <v>7</v>
      </c>
      <c r="I4">
        <v>10</v>
      </c>
      <c r="J4">
        <v>12</v>
      </c>
      <c r="K4">
        <v>14</v>
      </c>
      <c r="L4">
        <v>16</v>
      </c>
      <c r="M4">
        <v>18</v>
      </c>
      <c r="N4">
        <v>19</v>
      </c>
    </row>
    <row r="5" spans="1:34" x14ac:dyDescent="0.35">
      <c r="A5" t="s">
        <v>5</v>
      </c>
      <c r="B5" t="s">
        <v>6</v>
      </c>
      <c r="C5">
        <v>18500</v>
      </c>
      <c r="D5" s="1">
        <f t="shared" si="0"/>
        <v>0.21276595744680851</v>
      </c>
      <c r="E5" s="2">
        <v>145</v>
      </c>
      <c r="F5">
        <v>2</v>
      </c>
      <c r="G5">
        <v>0</v>
      </c>
      <c r="H5">
        <v>6</v>
      </c>
      <c r="I5">
        <v>9</v>
      </c>
      <c r="J5">
        <v>11</v>
      </c>
      <c r="K5">
        <v>13</v>
      </c>
      <c r="L5">
        <v>15</v>
      </c>
      <c r="M5">
        <v>16</v>
      </c>
      <c r="N5">
        <v>18</v>
      </c>
    </row>
    <row r="6" spans="1:34" x14ac:dyDescent="0.35">
      <c r="A6" t="s">
        <v>7</v>
      </c>
      <c r="B6" t="s">
        <v>8</v>
      </c>
      <c r="C6" s="7">
        <v>23040</v>
      </c>
      <c r="D6" s="1">
        <f t="shared" ref="D6:D9" si="1">(C$11-C6)/C$11</f>
        <v>0.27088607594936709</v>
      </c>
      <c r="E6">
        <v>100</v>
      </c>
      <c r="F6">
        <v>2.1</v>
      </c>
      <c r="G6">
        <v>0</v>
      </c>
      <c r="H6">
        <v>5</v>
      </c>
      <c r="I6">
        <v>9</v>
      </c>
      <c r="J6">
        <f>I6+$F$6</f>
        <v>11.1</v>
      </c>
      <c r="K6">
        <f>J6+$F$6</f>
        <v>13.2</v>
      </c>
      <c r="L6">
        <f>K6+$F$6</f>
        <v>15.299999999999999</v>
      </c>
      <c r="M6">
        <f>L6+$F$6</f>
        <v>17.399999999999999</v>
      </c>
      <c r="N6">
        <f>M6+$F$6</f>
        <v>19.5</v>
      </c>
    </row>
    <row r="7" spans="1:34" x14ac:dyDescent="0.35">
      <c r="A7" t="s">
        <v>9</v>
      </c>
      <c r="B7" t="s">
        <v>8</v>
      </c>
      <c r="C7" s="7">
        <v>24480</v>
      </c>
      <c r="D7" s="1">
        <f t="shared" si="1"/>
        <v>0.22531645569620254</v>
      </c>
      <c r="E7">
        <v>90</v>
      </c>
      <c r="F7">
        <v>2.2999999999999998</v>
      </c>
      <c r="G7">
        <v>0</v>
      </c>
      <c r="H7">
        <v>5</v>
      </c>
      <c r="I7">
        <v>9</v>
      </c>
      <c r="J7">
        <f>I7+$F$7</f>
        <v>11.3</v>
      </c>
      <c r="K7">
        <f>J7+$F$7</f>
        <v>13.600000000000001</v>
      </c>
      <c r="L7">
        <f>K7+$F$7</f>
        <v>15.900000000000002</v>
      </c>
      <c r="M7">
        <f>L7+$F$7</f>
        <v>18.200000000000003</v>
      </c>
      <c r="N7">
        <f>M7+$F$7</f>
        <v>20.500000000000004</v>
      </c>
    </row>
    <row r="8" spans="1:34" x14ac:dyDescent="0.35">
      <c r="A8" t="s">
        <v>10</v>
      </c>
      <c r="B8" t="s">
        <v>8</v>
      </c>
      <c r="C8" s="7">
        <v>24800</v>
      </c>
      <c r="D8" s="1">
        <f t="shared" si="1"/>
        <v>0.21518987341772153</v>
      </c>
      <c r="E8">
        <v>80</v>
      </c>
      <c r="F8">
        <v>3</v>
      </c>
      <c r="G8">
        <v>0</v>
      </c>
      <c r="H8">
        <v>6</v>
      </c>
      <c r="I8">
        <v>11</v>
      </c>
      <c r="J8">
        <f>I8+$F$8</f>
        <v>14</v>
      </c>
      <c r="K8">
        <f>J8+$F$8</f>
        <v>17</v>
      </c>
      <c r="L8">
        <f>K8+$F$8</f>
        <v>20</v>
      </c>
      <c r="M8">
        <f>L8+$F$8</f>
        <v>23</v>
      </c>
      <c r="N8">
        <f>M8+$F$8</f>
        <v>26</v>
      </c>
    </row>
    <row r="9" spans="1:34" x14ac:dyDescent="0.35">
      <c r="A9" t="s">
        <v>11</v>
      </c>
      <c r="B9" t="s">
        <v>8</v>
      </c>
      <c r="C9" s="7">
        <v>24800</v>
      </c>
      <c r="D9" s="1">
        <f t="shared" si="1"/>
        <v>0.21518987341772153</v>
      </c>
      <c r="E9">
        <v>70</v>
      </c>
      <c r="F9">
        <v>3</v>
      </c>
      <c r="G9">
        <v>0</v>
      </c>
      <c r="H9">
        <v>8</v>
      </c>
      <c r="I9">
        <v>14</v>
      </c>
      <c r="J9">
        <f>I9+$F$9</f>
        <v>17</v>
      </c>
      <c r="K9">
        <f>J9+$F$9</f>
        <v>20</v>
      </c>
      <c r="L9">
        <f>K9+$F$9</f>
        <v>23</v>
      </c>
      <c r="M9">
        <f>L9+$F$9</f>
        <v>26</v>
      </c>
      <c r="N9">
        <f>M9+$F$9</f>
        <v>29</v>
      </c>
    </row>
    <row r="10" spans="1:34" x14ac:dyDescent="0.35">
      <c r="A10" t="s">
        <v>12</v>
      </c>
      <c r="B10" t="s">
        <v>8</v>
      </c>
      <c r="C10" s="7">
        <v>29900</v>
      </c>
      <c r="D10" s="1">
        <f>(C$11-C10)/C$11</f>
        <v>5.3797468354430382E-2</v>
      </c>
      <c r="E10">
        <v>55</v>
      </c>
      <c r="F10">
        <v>3.5</v>
      </c>
      <c r="G10">
        <v>0</v>
      </c>
      <c r="H10">
        <v>8</v>
      </c>
      <c r="I10">
        <v>14</v>
      </c>
      <c r="J10">
        <f>I10+$F$10</f>
        <v>17.5</v>
      </c>
      <c r="K10">
        <f>J10+$F$10</f>
        <v>21</v>
      </c>
      <c r="L10">
        <f>K10+$F$10</f>
        <v>24.5</v>
      </c>
      <c r="M10">
        <f>L10+$F$10</f>
        <v>28</v>
      </c>
      <c r="N10">
        <f>M10+$F$10</f>
        <v>31.5</v>
      </c>
    </row>
    <row r="11" spans="1:34" x14ac:dyDescent="0.35">
      <c r="A11" t="s">
        <v>13</v>
      </c>
      <c r="B11" t="s">
        <v>8</v>
      </c>
      <c r="C11" s="7">
        <v>31600</v>
      </c>
      <c r="D11" s="1">
        <v>0</v>
      </c>
      <c r="E11">
        <v>45</v>
      </c>
      <c r="F11">
        <v>4.0999999999999996</v>
      </c>
      <c r="G11">
        <v>0</v>
      </c>
      <c r="H11">
        <v>8</v>
      </c>
      <c r="I11">
        <v>15</v>
      </c>
      <c r="J11">
        <f>I11+$F$11</f>
        <v>19.100000000000001</v>
      </c>
      <c r="K11">
        <f>J11+$F$11</f>
        <v>23.200000000000003</v>
      </c>
      <c r="L11">
        <f>K11+$F$11</f>
        <v>27.300000000000004</v>
      </c>
      <c r="M11">
        <f>L11+$F$11</f>
        <v>31.400000000000006</v>
      </c>
      <c r="N11">
        <f>M11+$F$11</f>
        <v>35.500000000000007</v>
      </c>
    </row>
    <row r="12" spans="1:34" x14ac:dyDescent="0.35">
      <c r="A12" t="s">
        <v>27</v>
      </c>
      <c r="B12" t="s">
        <v>28</v>
      </c>
      <c r="C12" s="8">
        <v>32000</v>
      </c>
      <c r="D12" s="1">
        <v>0</v>
      </c>
      <c r="E12" s="2">
        <v>66</v>
      </c>
      <c r="F12" s="9">
        <v>7</v>
      </c>
      <c r="G12" s="2">
        <v>0</v>
      </c>
      <c r="H12">
        <v>10</v>
      </c>
      <c r="I12">
        <v>17</v>
      </c>
      <c r="J12" s="9">
        <f>I12+$F12</f>
        <v>24</v>
      </c>
      <c r="K12" s="9">
        <f>J12+$F12</f>
        <v>31</v>
      </c>
      <c r="L12" s="9">
        <f>K12+$F12</f>
        <v>38</v>
      </c>
      <c r="M12" s="9">
        <f>L12+$F12</f>
        <v>45</v>
      </c>
      <c r="N12" s="9">
        <f>M12+$F12</f>
        <v>52</v>
      </c>
    </row>
    <row r="13" spans="1:34" x14ac:dyDescent="0.35">
      <c r="A13" t="s">
        <v>29</v>
      </c>
      <c r="B13" t="s">
        <v>28</v>
      </c>
      <c r="C13" s="8">
        <v>31000</v>
      </c>
      <c r="D13" s="1">
        <f>(C$12-C13)/C$12</f>
        <v>3.125E-2</v>
      </c>
      <c r="E13" s="2">
        <v>95</v>
      </c>
      <c r="F13" s="9">
        <v>6</v>
      </c>
      <c r="G13" s="2">
        <v>0</v>
      </c>
      <c r="H13">
        <v>10</v>
      </c>
      <c r="I13">
        <v>17</v>
      </c>
      <c r="J13" s="9">
        <f>I13+$F13</f>
        <v>23</v>
      </c>
      <c r="K13" s="9">
        <f>J13+$F13</f>
        <v>29</v>
      </c>
      <c r="L13" s="9">
        <f>K13+$F13</f>
        <v>35</v>
      </c>
      <c r="M13" s="9">
        <f>L13+$F13</f>
        <v>41</v>
      </c>
      <c r="N13" s="9">
        <f>M13+$F13</f>
        <v>47</v>
      </c>
    </row>
    <row r="14" spans="1:34" x14ac:dyDescent="0.35">
      <c r="A14" t="s">
        <v>30</v>
      </c>
      <c r="B14" t="s">
        <v>28</v>
      </c>
      <c r="C14" s="8">
        <v>30000</v>
      </c>
      <c r="D14" s="1">
        <f t="shared" ref="D14:D20" si="2">(C$12-C14)/C$12</f>
        <v>6.25E-2</v>
      </c>
      <c r="E14" s="2">
        <v>105</v>
      </c>
      <c r="F14" s="9">
        <v>6</v>
      </c>
      <c r="G14" s="2">
        <v>0</v>
      </c>
      <c r="H14">
        <v>10</v>
      </c>
      <c r="I14">
        <v>17</v>
      </c>
      <c r="J14" s="9">
        <f>I14+$F14</f>
        <v>23</v>
      </c>
      <c r="K14" s="9">
        <f>J14+$F14</f>
        <v>29</v>
      </c>
      <c r="L14" s="9">
        <f>K14+$F14</f>
        <v>35</v>
      </c>
      <c r="M14" s="9">
        <f>L14+$F14</f>
        <v>41</v>
      </c>
      <c r="N14" s="9">
        <f>M14+$F14</f>
        <v>47</v>
      </c>
    </row>
    <row r="15" spans="1:34" x14ac:dyDescent="0.35">
      <c r="A15" t="s">
        <v>31</v>
      </c>
      <c r="B15" t="s">
        <v>28</v>
      </c>
      <c r="C15" s="8">
        <v>27000</v>
      </c>
      <c r="D15" s="1">
        <f t="shared" si="2"/>
        <v>0.15625</v>
      </c>
      <c r="E15" s="2">
        <v>109</v>
      </c>
      <c r="F15" s="9">
        <v>4</v>
      </c>
      <c r="G15" s="2">
        <v>0</v>
      </c>
      <c r="H15">
        <v>10</v>
      </c>
      <c r="I15">
        <v>17</v>
      </c>
      <c r="J15" s="9">
        <f>I15+$F15</f>
        <v>21</v>
      </c>
      <c r="K15" s="9">
        <f>J15+$F15</f>
        <v>25</v>
      </c>
      <c r="L15" s="9">
        <f>K15+$F15</f>
        <v>29</v>
      </c>
      <c r="M15" s="9">
        <f>L15+$F15</f>
        <v>33</v>
      </c>
      <c r="N15" s="9">
        <f>M15+$F15</f>
        <v>37</v>
      </c>
    </row>
    <row r="16" spans="1:34" x14ac:dyDescent="0.35">
      <c r="A16" t="s">
        <v>32</v>
      </c>
      <c r="B16" t="s">
        <v>28</v>
      </c>
      <c r="C16" s="8">
        <v>27000</v>
      </c>
      <c r="D16" s="1">
        <f t="shared" si="2"/>
        <v>0.15625</v>
      </c>
      <c r="E16" s="2">
        <v>109</v>
      </c>
      <c r="F16" s="9">
        <v>4</v>
      </c>
      <c r="G16" s="2">
        <v>0</v>
      </c>
      <c r="H16">
        <v>10</v>
      </c>
      <c r="I16">
        <v>17</v>
      </c>
      <c r="J16" s="9">
        <f>I16+$F16</f>
        <v>21</v>
      </c>
      <c r="K16" s="9">
        <f>J16+$F16</f>
        <v>25</v>
      </c>
      <c r="L16" s="9">
        <f>K16+$F16</f>
        <v>29</v>
      </c>
      <c r="M16" s="9">
        <f>L16+$F16</f>
        <v>33</v>
      </c>
      <c r="N16" s="9">
        <f>M16+$F16</f>
        <v>37</v>
      </c>
    </row>
    <row r="17" spans="1:19" x14ac:dyDescent="0.35">
      <c r="A17" t="s">
        <v>33</v>
      </c>
      <c r="B17" t="s">
        <v>28</v>
      </c>
      <c r="C17" s="8">
        <v>23500</v>
      </c>
      <c r="D17" s="1">
        <f t="shared" si="2"/>
        <v>0.265625</v>
      </c>
      <c r="E17" s="2">
        <v>145</v>
      </c>
      <c r="F17" s="9">
        <v>3.5</v>
      </c>
      <c r="G17" s="2">
        <v>0</v>
      </c>
      <c r="H17">
        <v>10</v>
      </c>
      <c r="I17">
        <v>17</v>
      </c>
      <c r="J17" s="9">
        <f>I17+$F17</f>
        <v>20.5</v>
      </c>
      <c r="K17" s="9">
        <f>J17+$F17</f>
        <v>24</v>
      </c>
      <c r="L17" s="9">
        <f>K17+$F17</f>
        <v>27.5</v>
      </c>
      <c r="M17" s="9">
        <f>L17+$F17</f>
        <v>31</v>
      </c>
      <c r="N17" s="9">
        <f>M17+$F17</f>
        <v>34.5</v>
      </c>
    </row>
    <row r="18" spans="1:19" x14ac:dyDescent="0.35">
      <c r="A18" t="s">
        <v>34</v>
      </c>
      <c r="B18" t="s">
        <v>28</v>
      </c>
      <c r="C18" s="8">
        <v>22000</v>
      </c>
      <c r="D18" s="1">
        <f t="shared" si="2"/>
        <v>0.3125</v>
      </c>
      <c r="E18" s="2">
        <v>163</v>
      </c>
      <c r="F18" s="9">
        <v>3</v>
      </c>
      <c r="G18" s="2">
        <v>0</v>
      </c>
      <c r="H18">
        <v>10</v>
      </c>
      <c r="I18">
        <v>17</v>
      </c>
      <c r="J18" s="9">
        <f>I18+$F18</f>
        <v>20</v>
      </c>
      <c r="K18" s="9">
        <f>J18+$F18</f>
        <v>23</v>
      </c>
      <c r="L18" s="9">
        <f>K18+$F18</f>
        <v>26</v>
      </c>
      <c r="M18" s="9">
        <f>L18+$F18</f>
        <v>29</v>
      </c>
      <c r="N18" s="9">
        <f>M18+$F18</f>
        <v>32</v>
      </c>
    </row>
    <row r="19" spans="1:19" x14ac:dyDescent="0.35">
      <c r="A19" t="s">
        <v>35</v>
      </c>
      <c r="B19" t="s">
        <v>28</v>
      </c>
      <c r="C19" s="8">
        <v>21600</v>
      </c>
      <c r="D19" s="1">
        <f t="shared" si="2"/>
        <v>0.32500000000000001</v>
      </c>
      <c r="E19" s="2">
        <v>180</v>
      </c>
      <c r="F19" s="9">
        <v>2.8</v>
      </c>
      <c r="G19" s="2">
        <v>0</v>
      </c>
      <c r="H19">
        <v>10</v>
      </c>
      <c r="I19">
        <v>17</v>
      </c>
      <c r="J19" s="9">
        <f>I19+$F19</f>
        <v>19.8</v>
      </c>
      <c r="K19" s="9">
        <f>J19+$F19</f>
        <v>22.6</v>
      </c>
      <c r="L19" s="9">
        <f>K19+$F19</f>
        <v>25.400000000000002</v>
      </c>
      <c r="M19" s="9">
        <f>L19+$F19</f>
        <v>28.200000000000003</v>
      </c>
      <c r="N19" s="9">
        <f>M19+$F19</f>
        <v>31.000000000000004</v>
      </c>
    </row>
    <row r="20" spans="1:19" x14ac:dyDescent="0.35">
      <c r="A20" t="s">
        <v>36</v>
      </c>
      <c r="B20" t="s">
        <v>28</v>
      </c>
      <c r="C20" s="8">
        <v>23300</v>
      </c>
      <c r="D20" s="1">
        <f t="shared" si="2"/>
        <v>0.27187499999999998</v>
      </c>
      <c r="E20" s="2">
        <v>145</v>
      </c>
      <c r="F20" s="9">
        <v>3.5</v>
      </c>
      <c r="G20" s="2">
        <v>0</v>
      </c>
      <c r="H20">
        <v>10</v>
      </c>
      <c r="I20">
        <v>17</v>
      </c>
      <c r="J20" s="9">
        <f>I20+$F20</f>
        <v>20.5</v>
      </c>
      <c r="K20" s="9">
        <f>J20+$F20</f>
        <v>24</v>
      </c>
      <c r="L20" s="9">
        <f>K20+$F20</f>
        <v>27.5</v>
      </c>
      <c r="M20" s="9">
        <f>L20+$F20</f>
        <v>31</v>
      </c>
      <c r="N20" s="9">
        <f>M20+$F20</f>
        <v>34.5</v>
      </c>
      <c r="S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SV_cycle</vt:lpstr>
      <vt:lpstr>EGTdecay_cycle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Smith</dc:creator>
  <cp:lastModifiedBy>Emma Smith</cp:lastModifiedBy>
  <dcterms:created xsi:type="dcterms:W3CDTF">2015-06-05T18:17:20Z</dcterms:created>
  <dcterms:modified xsi:type="dcterms:W3CDTF">2025-11-04T23:48:39Z</dcterms:modified>
</cp:coreProperties>
</file>