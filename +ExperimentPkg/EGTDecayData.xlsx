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79bc981ad399937/Desktop/phdshit/ideas/FAST/^MExperimentPkg/"/>
    </mc:Choice>
  </mc:AlternateContent>
  <xr:revisionPtr revIDLastSave="204" documentId="11_F25DC773A252ABDACC1048AE315C4FCC5ADE58E9" xr6:coauthVersionLast="47" xr6:coauthVersionMax="47" xr10:uidLastSave="{113A73FD-83EB-45DB-B9BF-DEC81FA161F0}"/>
  <bookViews>
    <workbookView xWindow="2570" yWindow="1600" windowWidth="14170" windowHeight="14190" xr2:uid="{00000000-000D-0000-FFFF-FFFF00000000}"/>
  </bookViews>
  <sheets>
    <sheet name="SV_cycle" sheetId="2" r:id="rId1"/>
    <sheet name="EGTdecay_cyc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8" i="2" s="1"/>
  <c r="B29" i="2" s="1"/>
  <c r="B30" i="2" s="1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R10" i="2" s="1"/>
  <c r="S10" i="2" s="1"/>
  <c r="P11" i="2"/>
  <c r="Q11" i="2" s="1"/>
  <c r="P12" i="2"/>
  <c r="Q12" i="2" s="1"/>
  <c r="P13" i="2"/>
  <c r="R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" i="2"/>
  <c r="Q2" i="2" s="1"/>
  <c r="K17" i="1"/>
  <c r="L17" i="1"/>
  <c r="M17" i="1" s="1"/>
  <c r="N17" i="1" s="1"/>
  <c r="K18" i="1"/>
  <c r="L18" i="1" s="1"/>
  <c r="M18" i="1" s="1"/>
  <c r="N18" i="1" s="1"/>
  <c r="K19" i="1"/>
  <c r="L19" i="1" s="1"/>
  <c r="M19" i="1" s="1"/>
  <c r="N19" i="1" s="1"/>
  <c r="J13" i="1"/>
  <c r="K13" i="1" s="1"/>
  <c r="L13" i="1" s="1"/>
  <c r="M13" i="1" s="1"/>
  <c r="N13" i="1" s="1"/>
  <c r="J14" i="1"/>
  <c r="K14" i="1" s="1"/>
  <c r="L14" i="1" s="1"/>
  <c r="M14" i="1" s="1"/>
  <c r="N14" i="1" s="1"/>
  <c r="J15" i="1"/>
  <c r="K15" i="1" s="1"/>
  <c r="L15" i="1" s="1"/>
  <c r="M15" i="1" s="1"/>
  <c r="N15" i="1" s="1"/>
  <c r="J16" i="1"/>
  <c r="K16" i="1" s="1"/>
  <c r="L16" i="1" s="1"/>
  <c r="M16" i="1" s="1"/>
  <c r="N16" i="1" s="1"/>
  <c r="J17" i="1"/>
  <c r="J18" i="1"/>
  <c r="J19" i="1"/>
  <c r="J20" i="1"/>
  <c r="K20" i="1" s="1"/>
  <c r="L20" i="1" s="1"/>
  <c r="M20" i="1" s="1"/>
  <c r="N20" i="1" s="1"/>
  <c r="J12" i="1"/>
  <c r="K12" i="1" s="1"/>
  <c r="L12" i="1" s="1"/>
  <c r="M12" i="1" s="1"/>
  <c r="N12" i="1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" i="2"/>
  <c r="L2" i="2" s="1"/>
  <c r="G13" i="2"/>
  <c r="G12" i="2"/>
  <c r="E14" i="2"/>
  <c r="E15" i="2"/>
  <c r="E16" i="2"/>
  <c r="E17" i="2"/>
  <c r="E18" i="2"/>
  <c r="E19" i="2"/>
  <c r="E20" i="2"/>
  <c r="E13" i="2"/>
  <c r="D14" i="1"/>
  <c r="D15" i="1"/>
  <c r="D16" i="1"/>
  <c r="D17" i="1"/>
  <c r="D18" i="1"/>
  <c r="D19" i="1"/>
  <c r="D20" i="1"/>
  <c r="D13" i="1"/>
  <c r="G20" i="2"/>
  <c r="G19" i="2"/>
  <c r="G18" i="2"/>
  <c r="G17" i="2"/>
  <c r="G16" i="2"/>
  <c r="G15" i="2"/>
  <c r="G3" i="2"/>
  <c r="G4" i="2"/>
  <c r="G5" i="2"/>
  <c r="G2" i="2"/>
  <c r="E10" i="2"/>
  <c r="E9" i="2"/>
  <c r="E8" i="2"/>
  <c r="E7" i="2"/>
  <c r="E6" i="2"/>
  <c r="E5" i="2"/>
  <c r="E4" i="2"/>
  <c r="E3" i="2"/>
  <c r="J11" i="1"/>
  <c r="K11" i="1" s="1"/>
  <c r="L11" i="1" s="1"/>
  <c r="M11" i="1" s="1"/>
  <c r="N11" i="1" s="1"/>
  <c r="J10" i="1"/>
  <c r="K10" i="1" s="1"/>
  <c r="L10" i="1" s="1"/>
  <c r="M10" i="1" s="1"/>
  <c r="N10" i="1" s="1"/>
  <c r="D10" i="1"/>
  <c r="J9" i="1"/>
  <c r="K9" i="1" s="1"/>
  <c r="L9" i="1" s="1"/>
  <c r="M9" i="1" s="1"/>
  <c r="N9" i="1" s="1"/>
  <c r="D9" i="1"/>
  <c r="J8" i="1"/>
  <c r="K8" i="1" s="1"/>
  <c r="L8" i="1" s="1"/>
  <c r="M8" i="1" s="1"/>
  <c r="N8" i="1" s="1"/>
  <c r="D8" i="1"/>
  <c r="J7" i="1"/>
  <c r="K7" i="1" s="1"/>
  <c r="L7" i="1" s="1"/>
  <c r="M7" i="1" s="1"/>
  <c r="N7" i="1" s="1"/>
  <c r="D7" i="1"/>
  <c r="J6" i="1"/>
  <c r="K6" i="1" s="1"/>
  <c r="L6" i="1" s="1"/>
  <c r="M6" i="1" s="1"/>
  <c r="N6" i="1" s="1"/>
  <c r="D6" i="1"/>
  <c r="D5" i="1"/>
  <c r="D4" i="1"/>
  <c r="D3" i="1"/>
  <c r="Q13" i="2" l="1"/>
  <c r="R18" i="2"/>
  <c r="S18" i="2" s="1"/>
  <c r="R7" i="2"/>
  <c r="R20" i="2"/>
  <c r="S20" i="2" s="1"/>
  <c r="R19" i="2"/>
  <c r="S19" i="2" s="1"/>
  <c r="R17" i="2"/>
  <c r="R14" i="2"/>
  <c r="S14" i="2" s="1"/>
  <c r="R8" i="2"/>
  <c r="S8" i="2" s="1"/>
  <c r="R11" i="2"/>
  <c r="S11" i="2" s="1"/>
  <c r="Q10" i="2"/>
  <c r="S7" i="2"/>
  <c r="S17" i="2"/>
  <c r="R2" i="2"/>
  <c r="S2" i="2" s="1"/>
  <c r="R9" i="2"/>
  <c r="S9" i="2" s="1"/>
  <c r="R6" i="2"/>
  <c r="S6" i="2" s="1"/>
  <c r="R5" i="2"/>
  <c r="S5" i="2" s="1"/>
  <c r="R16" i="2"/>
  <c r="S16" i="2" s="1"/>
  <c r="R4" i="2"/>
  <c r="S4" i="2" s="1"/>
  <c r="R15" i="2"/>
  <c r="S15" i="2" s="1"/>
  <c r="R3" i="2"/>
  <c r="S3" i="2" s="1"/>
  <c r="S13" i="2"/>
  <c r="R12" i="2"/>
  <c r="S12" i="2" s="1"/>
</calcChain>
</file>

<file path=xl/sharedStrings.xml><?xml version="1.0" encoding="utf-8"?>
<sst xmlns="http://schemas.openxmlformats.org/spreadsheetml/2006/main" count="110" uniqueCount="47">
  <si>
    <t>Engine</t>
  </si>
  <si>
    <t>Variant</t>
  </si>
  <si>
    <t>SV1</t>
  </si>
  <si>
    <t>SV2</t>
  </si>
  <si>
    <t>SV3</t>
  </si>
  <si>
    <t>CFM56-3</t>
  </si>
  <si>
    <t>C1</t>
  </si>
  <si>
    <t>V2522-A5</t>
  </si>
  <si>
    <t>A5</t>
  </si>
  <si>
    <t>V2524-A5</t>
  </si>
  <si>
    <t>V2527-M-A5</t>
  </si>
  <si>
    <t>V2527-A5</t>
  </si>
  <si>
    <t>V2530-A5</t>
  </si>
  <si>
    <t>V2533-A5</t>
  </si>
  <si>
    <t>Thrust</t>
  </si>
  <si>
    <t>Derate</t>
  </si>
  <si>
    <t>EGT_Margin</t>
  </si>
  <si>
    <t>0c</t>
  </si>
  <si>
    <t>1000c</t>
  </si>
  <si>
    <t>2000c</t>
  </si>
  <si>
    <t>3000c</t>
  </si>
  <si>
    <t>4000c</t>
  </si>
  <si>
    <t>5000c</t>
  </si>
  <si>
    <t>6000c</t>
  </si>
  <si>
    <t>7000c</t>
  </si>
  <si>
    <t>Ratec</t>
  </si>
  <si>
    <t>Mature_EGT</t>
  </si>
  <si>
    <t>CFM56-5B3</t>
  </si>
  <si>
    <t>5B</t>
  </si>
  <si>
    <t>CFM56-5B2</t>
  </si>
  <si>
    <t>CFM56-5B1</t>
  </si>
  <si>
    <t>CFM56-5B7</t>
  </si>
  <si>
    <t>CFM56-5B4</t>
  </si>
  <si>
    <t>CFM56-5B6</t>
  </si>
  <si>
    <t>CFM56-5B5</t>
  </si>
  <si>
    <t>CFM56-5B8</t>
  </si>
  <si>
    <t>CFM56-5B9</t>
  </si>
  <si>
    <t>totSV2</t>
  </si>
  <si>
    <t>totSV3</t>
  </si>
  <si>
    <t>SV1EGT</t>
  </si>
  <si>
    <t>%EGTLifeLeft</t>
  </si>
  <si>
    <t>1000c_EGTdecay</t>
  </si>
  <si>
    <t>2000c_EGTdecay</t>
  </si>
  <si>
    <t>SV1_EGTrecov</t>
  </si>
  <si>
    <t>Cycle</t>
  </si>
  <si>
    <t>EGT</t>
  </si>
  <si>
    <t>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</si>
</sst>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1" fontId="0" fillId="0" borderId="0" xfId="1" applyNumberFormat="1" applyFont="1"/>
    <xf numFmtId="165" fontId="0" fillId="0" borderId="0" xfId="2" applyNumberFormat="1" applyFont="1"/>
    <xf numFmtId="166" fontId="0" fillId="0" borderId="0" xfId="0" applyNumberFormat="1"/>
    <xf numFmtId="9" fontId="0" fillId="0" borderId="0" xfId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EGT v Cycles for CFM56-3C No Derate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SV_cycle!$B$23</c:f>
              <c:strCache>
                <c:ptCount val="1"/>
                <c:pt idx="0">
                  <c:v>EGT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SV_cycle!$A$24:$A$26</c:f>
              <c:numCache>
                <c:formatCode>General</c:formatCode>
                <c:ptCount val="3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</c:numCache>
            </c:numRef>
          </c:xVal>
          <c:yVal>
            <c:numRef>
              <c:f>SV_cycle!$B$24:$B$26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0-460D-AE00-131C8E9AD376}"/>
            </c:ext>
          </c:extLst>
        </c:ser>
        <c:ser>
          <c:idx val="1"/>
          <c:order val="1"/>
          <c:tx>
            <c:v>"Linear"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00"/>
            <c:backward val="300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SV_cycle!$A$27:$A$30</c:f>
              <c:numCache>
                <c:formatCode>General</c:formatCode>
                <c:ptCount val="4"/>
                <c:pt idx="0">
                  <c:v>3000</c:v>
                </c:pt>
                <c:pt idx="1">
                  <c:v>4000</c:v>
                </c:pt>
                <c:pt idx="2">
                  <c:v>5000</c:v>
                </c:pt>
                <c:pt idx="3">
                  <c:v>6000</c:v>
                </c:pt>
              </c:numCache>
            </c:numRef>
          </c:xVal>
          <c:yVal>
            <c:numRef>
              <c:f>SV_cycle!$B$27:$B$30</c:f>
              <c:numCache>
                <c:formatCode>General</c:formatCode>
                <c:ptCount val="4"/>
                <c:pt idx="0">
                  <c:v>18</c:v>
                </c:pt>
                <c:pt idx="1">
                  <c:v>21</c:v>
                </c:pt>
                <c:pt idx="2">
                  <c:v>24</c:v>
                </c:pt>
                <c:pt idx="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0-460D-AE00-131C8E9AD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263663"/>
        <c:axId val="876264143"/>
      </c:scatterChart>
      <c:valAx>
        <c:axId val="87626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Cycles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64143"/>
        <c:crosses val="autoZero"/>
        <c:crossBetween val="midCat"/>
      </c:valAx>
      <c:valAx>
        <c:axId val="8762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EGT Decay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6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SV_cycle!$F$1</c:f>
              <c:strCache>
                <c:ptCount val="1"/>
                <c:pt idx="0">
                  <c:v>EGT_Margin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SV_cycle!$E$2:$E$20</c:f>
              <c:numCache>
                <c:formatCode>0.0%</c:formatCode>
                <c:ptCount val="19"/>
                <c:pt idx="0">
                  <c:v>0</c:v>
                </c:pt>
                <c:pt idx="1">
                  <c:v>6.3829787234042548E-2</c:v>
                </c:pt>
                <c:pt idx="2">
                  <c:v>0.14893617021276595</c:v>
                </c:pt>
                <c:pt idx="3">
                  <c:v>0.21276595744680851</c:v>
                </c:pt>
                <c:pt idx="4">
                  <c:v>0.27088607594936709</c:v>
                </c:pt>
                <c:pt idx="5">
                  <c:v>0.22531645569620254</c:v>
                </c:pt>
                <c:pt idx="6">
                  <c:v>0.21518987341772153</c:v>
                </c:pt>
                <c:pt idx="7">
                  <c:v>0.21518987341772153</c:v>
                </c:pt>
                <c:pt idx="8">
                  <c:v>5.3797468354430382E-2</c:v>
                </c:pt>
                <c:pt idx="9">
                  <c:v>0</c:v>
                </c:pt>
                <c:pt idx="10">
                  <c:v>0</c:v>
                </c:pt>
                <c:pt idx="11">
                  <c:v>3.125E-2</c:v>
                </c:pt>
                <c:pt idx="12">
                  <c:v>6.25E-2</c:v>
                </c:pt>
                <c:pt idx="13">
                  <c:v>0.15625</c:v>
                </c:pt>
                <c:pt idx="14">
                  <c:v>0.15625</c:v>
                </c:pt>
                <c:pt idx="15">
                  <c:v>0.265625</c:v>
                </c:pt>
                <c:pt idx="16">
                  <c:v>0.3125</c:v>
                </c:pt>
                <c:pt idx="17">
                  <c:v>0.32500000000000001</c:v>
                </c:pt>
                <c:pt idx="18">
                  <c:v>0.27187499999999998</c:v>
                </c:pt>
              </c:numCache>
            </c:numRef>
          </c:xVal>
          <c:yVal>
            <c:numRef>
              <c:f>SV_cycle!$F$2:$F$20</c:f>
              <c:numCache>
                <c:formatCode>General</c:formatCode>
                <c:ptCount val="19"/>
                <c:pt idx="0">
                  <c:v>53</c:v>
                </c:pt>
                <c:pt idx="1">
                  <c:v>75</c:v>
                </c:pt>
                <c:pt idx="2">
                  <c:v>140</c:v>
                </c:pt>
                <c:pt idx="3">
                  <c:v>145</c:v>
                </c:pt>
                <c:pt idx="4">
                  <c:v>100</c:v>
                </c:pt>
                <c:pt idx="5">
                  <c:v>90</c:v>
                </c:pt>
                <c:pt idx="6">
                  <c:v>80</c:v>
                </c:pt>
                <c:pt idx="7">
                  <c:v>70</c:v>
                </c:pt>
                <c:pt idx="8">
                  <c:v>55</c:v>
                </c:pt>
                <c:pt idx="9">
                  <c:v>45</c:v>
                </c:pt>
                <c:pt idx="10">
                  <c:v>66</c:v>
                </c:pt>
                <c:pt idx="11">
                  <c:v>95</c:v>
                </c:pt>
                <c:pt idx="12">
                  <c:v>105</c:v>
                </c:pt>
                <c:pt idx="13">
                  <c:v>109</c:v>
                </c:pt>
                <c:pt idx="14">
                  <c:v>109</c:v>
                </c:pt>
                <c:pt idx="15">
                  <c:v>145</c:v>
                </c:pt>
                <c:pt idx="16">
                  <c:v>163</c:v>
                </c:pt>
                <c:pt idx="17">
                  <c:v>180</c:v>
                </c:pt>
                <c:pt idx="18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7-4440-B9F1-105E7ED80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269119"/>
        <c:axId val="1314266239"/>
      </c:scatterChart>
      <c:valAx>
        <c:axId val="13142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66239"/>
        <c:crosses val="autoZero"/>
        <c:crossBetween val="midCat"/>
      </c:valAx>
      <c:valAx>
        <c:axId val="131426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6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EGT</a:t>
            </a:r>
            <a:r>
              <a:rPr lang="en-US" baseline="0"/>
              <a:t> v Cycles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SV_cycle!$M$1</c:f>
              <c:strCache>
                <c:ptCount val="1"/>
                <c:pt idx="0">
                  <c:v>Ratec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SV_cycle!$E$2:$E$20</c:f>
              <c:numCache>
                <c:formatCode>0.0%</c:formatCode>
                <c:ptCount val="19"/>
                <c:pt idx="0">
                  <c:v>0</c:v>
                </c:pt>
                <c:pt idx="1">
                  <c:v>6.3829787234042548E-2</c:v>
                </c:pt>
                <c:pt idx="2">
                  <c:v>0.14893617021276595</c:v>
                </c:pt>
                <c:pt idx="3">
                  <c:v>0.21276595744680851</c:v>
                </c:pt>
                <c:pt idx="4">
                  <c:v>0.27088607594936709</c:v>
                </c:pt>
                <c:pt idx="5">
                  <c:v>0.22531645569620254</c:v>
                </c:pt>
                <c:pt idx="6">
                  <c:v>0.21518987341772153</c:v>
                </c:pt>
                <c:pt idx="7">
                  <c:v>0.21518987341772153</c:v>
                </c:pt>
                <c:pt idx="8">
                  <c:v>5.3797468354430382E-2</c:v>
                </c:pt>
                <c:pt idx="9">
                  <c:v>0</c:v>
                </c:pt>
                <c:pt idx="10">
                  <c:v>0</c:v>
                </c:pt>
                <c:pt idx="11">
                  <c:v>3.125E-2</c:v>
                </c:pt>
                <c:pt idx="12">
                  <c:v>6.25E-2</c:v>
                </c:pt>
                <c:pt idx="13">
                  <c:v>0.15625</c:v>
                </c:pt>
                <c:pt idx="14">
                  <c:v>0.15625</c:v>
                </c:pt>
                <c:pt idx="15">
                  <c:v>0.265625</c:v>
                </c:pt>
                <c:pt idx="16">
                  <c:v>0.3125</c:v>
                </c:pt>
                <c:pt idx="17">
                  <c:v>0.32500000000000001</c:v>
                </c:pt>
                <c:pt idx="18">
                  <c:v>0.27187499999999998</c:v>
                </c:pt>
              </c:numCache>
            </c:numRef>
          </c:xVal>
          <c:yVal>
            <c:numRef>
              <c:f>SV_cycle!$M$2:$M$20</c:f>
              <c:numCache>
                <c:formatCode>General</c:formatCode>
                <c:ptCount val="19"/>
                <c:pt idx="0">
                  <c:v>3</c:v>
                </c:pt>
                <c:pt idx="1">
                  <c:v>2.5</c:v>
                </c:pt>
                <c:pt idx="2">
                  <c:v>2</c:v>
                </c:pt>
                <c:pt idx="3">
                  <c:v>2</c:v>
                </c:pt>
                <c:pt idx="4">
                  <c:v>2.1</c:v>
                </c:pt>
                <c:pt idx="5">
                  <c:v>2.2999999999999998</c:v>
                </c:pt>
                <c:pt idx="6">
                  <c:v>3</c:v>
                </c:pt>
                <c:pt idx="7">
                  <c:v>3</c:v>
                </c:pt>
                <c:pt idx="8">
                  <c:v>3.5</c:v>
                </c:pt>
                <c:pt idx="9">
                  <c:v>4.0999999999999996</c:v>
                </c:pt>
                <c:pt idx="10" formatCode="0.0">
                  <c:v>7</c:v>
                </c:pt>
                <c:pt idx="11" formatCode="0.0">
                  <c:v>6</c:v>
                </c:pt>
                <c:pt idx="12" formatCode="0.0">
                  <c:v>6</c:v>
                </c:pt>
                <c:pt idx="13" formatCode="0.0">
                  <c:v>4</c:v>
                </c:pt>
                <c:pt idx="14" formatCode="0.0">
                  <c:v>4</c:v>
                </c:pt>
                <c:pt idx="15" formatCode="0.0">
                  <c:v>3.5</c:v>
                </c:pt>
                <c:pt idx="16" formatCode="0.0">
                  <c:v>3</c:v>
                </c:pt>
                <c:pt idx="17" formatCode="0.0">
                  <c:v>2.8</c:v>
                </c:pt>
                <c:pt idx="18" formatCode="0.0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38-41D1-827F-77AD2AC67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335023"/>
        <c:axId val="1043334543"/>
      </c:scatterChart>
      <c:valAx>
        <c:axId val="104333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34543"/>
        <c:crosses val="autoZero"/>
        <c:crossBetween val="midCat"/>
      </c:valAx>
      <c:valAx>
        <c:axId val="10433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3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EGT</a:t>
            </a:r>
            <a:r>
              <a:rPr lang="en-US" baseline="0"/>
              <a:t> Decay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SV_cycle!$N$1</c:f>
              <c:strCache>
                <c:ptCount val="1"/>
                <c:pt idx="0">
                  <c:v>1000c_EGTdecay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SV_cycle!$E$2:$E$20</c:f>
              <c:numCache>
                <c:formatCode>0.0%</c:formatCode>
                <c:ptCount val="19"/>
                <c:pt idx="0">
                  <c:v>0</c:v>
                </c:pt>
                <c:pt idx="1">
                  <c:v>6.3829787234042548E-2</c:v>
                </c:pt>
                <c:pt idx="2">
                  <c:v>0.14893617021276595</c:v>
                </c:pt>
                <c:pt idx="3">
                  <c:v>0.21276595744680851</c:v>
                </c:pt>
                <c:pt idx="4">
                  <c:v>0.27088607594936709</c:v>
                </c:pt>
                <c:pt idx="5">
                  <c:v>0.22531645569620254</c:v>
                </c:pt>
                <c:pt idx="6">
                  <c:v>0.21518987341772153</c:v>
                </c:pt>
                <c:pt idx="7">
                  <c:v>0.21518987341772153</c:v>
                </c:pt>
                <c:pt idx="8">
                  <c:v>5.3797468354430382E-2</c:v>
                </c:pt>
                <c:pt idx="9">
                  <c:v>0</c:v>
                </c:pt>
                <c:pt idx="10">
                  <c:v>0</c:v>
                </c:pt>
                <c:pt idx="11">
                  <c:v>3.125E-2</c:v>
                </c:pt>
                <c:pt idx="12">
                  <c:v>6.25E-2</c:v>
                </c:pt>
                <c:pt idx="13">
                  <c:v>0.15625</c:v>
                </c:pt>
                <c:pt idx="14">
                  <c:v>0.15625</c:v>
                </c:pt>
                <c:pt idx="15">
                  <c:v>0.265625</c:v>
                </c:pt>
                <c:pt idx="16">
                  <c:v>0.3125</c:v>
                </c:pt>
                <c:pt idx="17">
                  <c:v>0.32500000000000001</c:v>
                </c:pt>
                <c:pt idx="18">
                  <c:v>0.27187499999999998</c:v>
                </c:pt>
              </c:numCache>
            </c:numRef>
          </c:xVal>
          <c:yVal>
            <c:numRef>
              <c:f>SV_cycle!$N$2:$N$20</c:f>
              <c:numCache>
                <c:formatCode>General</c:formatCode>
                <c:ptCount val="19"/>
                <c:pt idx="0">
                  <c:v>10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27-49BC-9136-75ED4BB86BF5}"/>
            </c:ext>
          </c:extLst>
        </c:ser>
        <c:ser>
          <c:idx val="1"/>
          <c:order val="1"/>
          <c:tx>
            <c:strRef>
              <c:f>SV_cycle!$O$1</c:f>
              <c:strCache>
                <c:ptCount val="1"/>
                <c:pt idx="0">
                  <c:v>2000c_EGTdecay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SV_cycle!$E$2:$E$20</c:f>
              <c:numCache>
                <c:formatCode>0.0%</c:formatCode>
                <c:ptCount val="19"/>
                <c:pt idx="0">
                  <c:v>0</c:v>
                </c:pt>
                <c:pt idx="1">
                  <c:v>6.3829787234042548E-2</c:v>
                </c:pt>
                <c:pt idx="2">
                  <c:v>0.14893617021276595</c:v>
                </c:pt>
                <c:pt idx="3">
                  <c:v>0.21276595744680851</c:v>
                </c:pt>
                <c:pt idx="4">
                  <c:v>0.27088607594936709</c:v>
                </c:pt>
                <c:pt idx="5">
                  <c:v>0.22531645569620254</c:v>
                </c:pt>
                <c:pt idx="6">
                  <c:v>0.21518987341772153</c:v>
                </c:pt>
                <c:pt idx="7">
                  <c:v>0.21518987341772153</c:v>
                </c:pt>
                <c:pt idx="8">
                  <c:v>5.3797468354430382E-2</c:v>
                </c:pt>
                <c:pt idx="9">
                  <c:v>0</c:v>
                </c:pt>
                <c:pt idx="10">
                  <c:v>0</c:v>
                </c:pt>
                <c:pt idx="11">
                  <c:v>3.125E-2</c:v>
                </c:pt>
                <c:pt idx="12">
                  <c:v>6.25E-2</c:v>
                </c:pt>
                <c:pt idx="13">
                  <c:v>0.15625</c:v>
                </c:pt>
                <c:pt idx="14">
                  <c:v>0.15625</c:v>
                </c:pt>
                <c:pt idx="15">
                  <c:v>0.265625</c:v>
                </c:pt>
                <c:pt idx="16">
                  <c:v>0.3125</c:v>
                </c:pt>
                <c:pt idx="17">
                  <c:v>0.32500000000000001</c:v>
                </c:pt>
                <c:pt idx="18">
                  <c:v>0.27187499999999998</c:v>
                </c:pt>
              </c:numCache>
            </c:numRef>
          </c:xVal>
          <c:yVal>
            <c:numRef>
              <c:f>SV_cycle!$O$2:$O$20</c:f>
              <c:numCache>
                <c:formatCode>General</c:formatCode>
                <c:ptCount val="19"/>
                <c:pt idx="0">
                  <c:v>15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11</c:v>
                </c:pt>
                <c:pt idx="7">
                  <c:v>14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27-49BC-9136-75ED4BB86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477839"/>
        <c:axId val="1666473999"/>
      </c:scatterChart>
      <c:valAx>
        <c:axId val="166647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73999"/>
        <c:crosses val="autoZero"/>
        <c:crossBetween val="midCat"/>
      </c:valAx>
      <c:valAx>
        <c:axId val="166647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7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238124</xdr:colOff>
      <xdr:row>21</xdr:row>
      <xdr:rowOff>120650</xdr:rowOff>
    </xdr:from>
    <xdr:to>
      <xdr:col>13</xdr:col>
      <xdr:colOff>1022350</xdr:colOff>
      <xdr:row>43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3EC27-29FA-67C7-086C-E7AE3BD7C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631825</xdr:colOff>
      <xdr:row>24</xdr:row>
      <xdr:rowOff>127000</xdr:rowOff>
    </xdr:from>
    <xdr:to>
      <xdr:col>21</xdr:col>
      <xdr:colOff>136525</xdr:colOff>
      <xdr:row>39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C899CB-3E53-4A0E-DC5F-7E912A420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612775</xdr:colOff>
      <xdr:row>40</xdr:row>
      <xdr:rowOff>152400</xdr:rowOff>
    </xdr:from>
    <xdr:to>
      <xdr:col>21</xdr:col>
      <xdr:colOff>117475</xdr:colOff>
      <xdr:row>55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CD6CE0-DAF8-FEB2-B171-EB8B31A5B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701675</xdr:colOff>
      <xdr:row>56</xdr:row>
      <xdr:rowOff>127000</xdr:rowOff>
    </xdr:from>
    <xdr:to>
      <xdr:col>21</xdr:col>
      <xdr:colOff>206375</xdr:colOff>
      <xdr:row>71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34B0D2-C771-EF61-332F-731298FC4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FDB8-0139-4634-92E7-683DB926A4B4}">
  <dimension ref="A1:AK30"/>
  <sheetViews>
    <sheetView tabSelected="1" topLeftCell="L20" workbookViewId="0">
      <selection activeCell="W59" sqref="W59"/>
    </sheetView>
  </sheetViews>
  <sheetFormatPr defaultRowHeight="14.5" x14ac:dyDescent="0.35"/>
  <cols>
    <col min="1" max="1" width="12.08984375" customWidth="1"/>
    <col min="6" max="6" width="12.08984375" customWidth="1"/>
    <col min="7" max="7" width="11.90625" customWidth="1"/>
    <col min="8" max="8" width="13.36328125" customWidth="1"/>
    <col min="14" max="14" width="16" customWidth="1"/>
    <col min="15" max="15" width="15.08984375" customWidth="1"/>
    <col min="17" max="17" width="13.81640625" customWidth="1"/>
  </cols>
  <sheetData>
    <row r="1" spans="1:37" s="4" customFormat="1" ht="25.5" customHeight="1" x14ac:dyDescent="0.35">
      <c r="A1" s="3" t="s">
        <v>0</v>
      </c>
      <c r="B1" s="4" t="s">
        <v>1</v>
      </c>
      <c r="C1" s="4" t="s">
        <v>46</v>
      </c>
      <c r="D1" s="4" t="s">
        <v>14</v>
      </c>
      <c r="E1" s="5" t="s">
        <v>15</v>
      </c>
      <c r="F1" s="6" t="s">
        <v>16</v>
      </c>
      <c r="G1" s="6" t="s">
        <v>26</v>
      </c>
      <c r="H1" s="4" t="s">
        <v>2</v>
      </c>
      <c r="I1" s="4" t="s">
        <v>3</v>
      </c>
      <c r="J1" s="4" t="s">
        <v>4</v>
      </c>
      <c r="K1" s="4" t="s">
        <v>37</v>
      </c>
      <c r="L1" s="4" t="s">
        <v>38</v>
      </c>
      <c r="M1" s="4" t="s">
        <v>25</v>
      </c>
      <c r="N1" s="4" t="s">
        <v>41</v>
      </c>
      <c r="O1" s="4" t="s">
        <v>42</v>
      </c>
      <c r="P1" s="4" t="s">
        <v>39</v>
      </c>
      <c r="Q1" s="4" t="s">
        <v>40</v>
      </c>
      <c r="R1" s="4" t="s">
        <v>43</v>
      </c>
      <c r="Y1"/>
      <c r="Z1"/>
      <c r="AA1"/>
      <c r="AB1"/>
      <c r="AC1"/>
      <c r="AD1"/>
      <c r="AE1"/>
      <c r="AF1"/>
      <c r="AG1"/>
      <c r="AH1"/>
      <c r="AI1"/>
      <c r="AJ1"/>
      <c r="AK1"/>
    </row>
    <row r="2" spans="1:37" x14ac:dyDescent="0.35">
      <c r="A2" t="s">
        <v>5</v>
      </c>
      <c r="B2" t="s">
        <v>6</v>
      </c>
      <c r="C2">
        <v>1982</v>
      </c>
      <c r="D2">
        <v>23500</v>
      </c>
      <c r="E2" s="1">
        <v>0</v>
      </c>
      <c r="F2" s="2">
        <v>53</v>
      </c>
      <c r="G2" s="2">
        <f>F2*0.8</f>
        <v>42.400000000000006</v>
      </c>
      <c r="H2">
        <v>6000</v>
      </c>
      <c r="I2">
        <v>4800</v>
      </c>
      <c r="J2">
        <v>4100</v>
      </c>
      <c r="K2">
        <f>I2+H2</f>
        <v>10800</v>
      </c>
      <c r="L2">
        <f>K2+J2</f>
        <v>14900</v>
      </c>
      <c r="M2">
        <v>3</v>
      </c>
      <c r="N2">
        <v>10</v>
      </c>
      <c r="O2">
        <v>15</v>
      </c>
      <c r="P2">
        <f>O2+M2*(H2-2000)/1000</f>
        <v>27</v>
      </c>
      <c r="Q2" s="10">
        <f>(F2-P2)/F2</f>
        <v>0.49056603773584906</v>
      </c>
      <c r="R2">
        <f>P2*0.85</f>
        <v>22.95</v>
      </c>
      <c r="S2">
        <f>G2-P2+R2</f>
        <v>38.350000000000009</v>
      </c>
    </row>
    <row r="3" spans="1:37" ht="16" customHeight="1" x14ac:dyDescent="0.35">
      <c r="A3" t="s">
        <v>5</v>
      </c>
      <c r="B3" t="s">
        <v>6</v>
      </c>
      <c r="C3">
        <v>1984</v>
      </c>
      <c r="D3">
        <v>22000</v>
      </c>
      <c r="E3" s="1">
        <f>(D$2-D3)/D$2</f>
        <v>6.3829787234042548E-2</v>
      </c>
      <c r="F3" s="2">
        <v>75</v>
      </c>
      <c r="G3" s="2">
        <f t="shared" ref="G3:G5" si="0">F3*0.8</f>
        <v>60</v>
      </c>
      <c r="H3">
        <v>6700</v>
      </c>
      <c r="I3">
        <v>5300</v>
      </c>
      <c r="J3">
        <v>4500</v>
      </c>
      <c r="K3">
        <f t="shared" ref="K3:K20" si="1">I3+H3</f>
        <v>12000</v>
      </c>
      <c r="L3">
        <f t="shared" ref="L3:L20" si="2">K3+J3</f>
        <v>16500</v>
      </c>
      <c r="M3">
        <v>2.5</v>
      </c>
      <c r="N3">
        <v>7</v>
      </c>
      <c r="O3">
        <v>11</v>
      </c>
      <c r="P3">
        <f>O3+M3*(H3-2000)/1000</f>
        <v>22.75</v>
      </c>
      <c r="Q3" s="10">
        <f>(F3-P3)/F3</f>
        <v>0.69666666666666666</v>
      </c>
      <c r="R3">
        <f t="shared" ref="R3:R20" si="3">P3*0.85</f>
        <v>19.337499999999999</v>
      </c>
      <c r="S3">
        <f t="shared" ref="S3:S20" si="4">G3-P3+R3</f>
        <v>56.587499999999999</v>
      </c>
      <c r="T3" s="4"/>
    </row>
    <row r="4" spans="1:37" x14ac:dyDescent="0.35">
      <c r="A4" t="s">
        <v>5</v>
      </c>
      <c r="B4" t="s">
        <v>6</v>
      </c>
      <c r="C4">
        <v>1984</v>
      </c>
      <c r="D4">
        <v>20000</v>
      </c>
      <c r="E4" s="1">
        <f t="shared" ref="E4:E5" si="5">(D$2-D4)/D$2</f>
        <v>0.14893617021276595</v>
      </c>
      <c r="F4" s="2">
        <v>140</v>
      </c>
      <c r="G4" s="2">
        <f t="shared" si="0"/>
        <v>112</v>
      </c>
      <c r="H4">
        <v>7600</v>
      </c>
      <c r="I4">
        <v>6000</v>
      </c>
      <c r="J4">
        <v>5200</v>
      </c>
      <c r="K4">
        <f t="shared" si="1"/>
        <v>13600</v>
      </c>
      <c r="L4">
        <f t="shared" si="2"/>
        <v>18800</v>
      </c>
      <c r="M4">
        <v>2</v>
      </c>
      <c r="N4">
        <v>7</v>
      </c>
      <c r="O4">
        <v>10</v>
      </c>
      <c r="P4">
        <f>O4+M4*(H4-2000)/1000</f>
        <v>21.2</v>
      </c>
      <c r="Q4" s="10">
        <f>(F4-P4)/F4</f>
        <v>0.84857142857142853</v>
      </c>
      <c r="R4">
        <f t="shared" si="3"/>
        <v>18.02</v>
      </c>
      <c r="S4">
        <f t="shared" si="4"/>
        <v>108.82</v>
      </c>
    </row>
    <row r="5" spans="1:37" x14ac:dyDescent="0.35">
      <c r="A5" t="s">
        <v>5</v>
      </c>
      <c r="B5" t="s">
        <v>6</v>
      </c>
      <c r="C5">
        <v>1984</v>
      </c>
      <c r="D5">
        <v>18500</v>
      </c>
      <c r="E5" s="1">
        <f t="shared" si="5"/>
        <v>0.21276595744680851</v>
      </c>
      <c r="F5" s="2">
        <v>145</v>
      </c>
      <c r="G5" s="2">
        <f t="shared" si="0"/>
        <v>116</v>
      </c>
      <c r="H5">
        <v>8200</v>
      </c>
      <c r="I5">
        <v>6500</v>
      </c>
      <c r="J5">
        <v>5600</v>
      </c>
      <c r="K5">
        <f t="shared" si="1"/>
        <v>14700</v>
      </c>
      <c r="L5">
        <f t="shared" si="2"/>
        <v>20300</v>
      </c>
      <c r="M5">
        <v>2</v>
      </c>
      <c r="N5">
        <v>6</v>
      </c>
      <c r="O5">
        <v>9</v>
      </c>
      <c r="P5">
        <f>O5+M5*(H5-2000)/1000</f>
        <v>21.4</v>
      </c>
      <c r="Q5" s="10">
        <f>(F5-P5)/F5</f>
        <v>0.85241379310344823</v>
      </c>
      <c r="R5">
        <f t="shared" si="3"/>
        <v>18.189999999999998</v>
      </c>
      <c r="S5">
        <f t="shared" si="4"/>
        <v>112.78999999999999</v>
      </c>
    </row>
    <row r="6" spans="1:37" x14ac:dyDescent="0.35">
      <c r="A6" t="s">
        <v>7</v>
      </c>
      <c r="B6" t="s">
        <v>8</v>
      </c>
      <c r="C6">
        <v>1993</v>
      </c>
      <c r="D6" s="7">
        <v>23040</v>
      </c>
      <c r="E6" s="1">
        <f t="shared" ref="E6:E9" si="6">(D$11-D6)/D$11</f>
        <v>0.27088607594936709</v>
      </c>
      <c r="F6">
        <v>100</v>
      </c>
      <c r="G6">
        <v>75</v>
      </c>
      <c r="H6">
        <v>11000</v>
      </c>
      <c r="I6">
        <v>9000</v>
      </c>
      <c r="J6">
        <v>9000</v>
      </c>
      <c r="K6">
        <f t="shared" si="1"/>
        <v>20000</v>
      </c>
      <c r="L6">
        <f t="shared" si="2"/>
        <v>29000</v>
      </c>
      <c r="M6">
        <v>2.1</v>
      </c>
      <c r="N6">
        <v>5</v>
      </c>
      <c r="O6">
        <v>9</v>
      </c>
      <c r="P6">
        <f>O6+M6*(H6-2000)/1000</f>
        <v>27.9</v>
      </c>
      <c r="Q6" s="10">
        <f>(F6-P6)/F6</f>
        <v>0.72099999999999997</v>
      </c>
      <c r="R6">
        <f t="shared" si="3"/>
        <v>23.715</v>
      </c>
      <c r="S6">
        <f t="shared" si="4"/>
        <v>70.814999999999998</v>
      </c>
    </row>
    <row r="7" spans="1:37" x14ac:dyDescent="0.35">
      <c r="A7" t="s">
        <v>9</v>
      </c>
      <c r="B7" t="s">
        <v>8</v>
      </c>
      <c r="C7">
        <v>1993</v>
      </c>
      <c r="D7" s="7">
        <v>24480</v>
      </c>
      <c r="E7" s="1">
        <f t="shared" si="6"/>
        <v>0.22531645569620254</v>
      </c>
      <c r="F7">
        <v>90</v>
      </c>
      <c r="G7">
        <v>75</v>
      </c>
      <c r="H7">
        <v>11000</v>
      </c>
      <c r="I7">
        <v>9000</v>
      </c>
      <c r="J7">
        <v>9000</v>
      </c>
      <c r="K7">
        <f t="shared" si="1"/>
        <v>20000</v>
      </c>
      <c r="L7">
        <f t="shared" si="2"/>
        <v>29000</v>
      </c>
      <c r="M7">
        <v>2.2999999999999998</v>
      </c>
      <c r="N7">
        <v>5</v>
      </c>
      <c r="O7">
        <v>9</v>
      </c>
      <c r="P7">
        <f>O7+M7*(H7-2000)/1000</f>
        <v>29.7</v>
      </c>
      <c r="Q7" s="10">
        <f>(F7-P7)/F7</f>
        <v>0.66999999999999993</v>
      </c>
      <c r="R7">
        <f t="shared" si="3"/>
        <v>25.244999999999997</v>
      </c>
      <c r="S7">
        <f t="shared" si="4"/>
        <v>70.544999999999987</v>
      </c>
    </row>
    <row r="8" spans="1:37" x14ac:dyDescent="0.35">
      <c r="A8" t="s">
        <v>10</v>
      </c>
      <c r="B8" t="s">
        <v>8</v>
      </c>
      <c r="C8">
        <v>1993</v>
      </c>
      <c r="D8" s="7">
        <v>24800</v>
      </c>
      <c r="E8" s="1">
        <f t="shared" si="6"/>
        <v>0.21518987341772153</v>
      </c>
      <c r="F8">
        <v>80</v>
      </c>
      <c r="G8">
        <v>65</v>
      </c>
      <c r="H8">
        <v>9000</v>
      </c>
      <c r="I8">
        <v>8000</v>
      </c>
      <c r="J8">
        <v>9000</v>
      </c>
      <c r="K8">
        <f t="shared" si="1"/>
        <v>17000</v>
      </c>
      <c r="L8">
        <f t="shared" si="2"/>
        <v>26000</v>
      </c>
      <c r="M8">
        <v>3</v>
      </c>
      <c r="N8">
        <v>6</v>
      </c>
      <c r="O8">
        <v>11</v>
      </c>
      <c r="P8">
        <f>O8+M8*(H8-2000)/1000</f>
        <v>32</v>
      </c>
      <c r="Q8" s="10">
        <f>(F8-P8)/F8</f>
        <v>0.6</v>
      </c>
      <c r="R8">
        <f t="shared" si="3"/>
        <v>27.2</v>
      </c>
      <c r="S8">
        <f t="shared" si="4"/>
        <v>60.2</v>
      </c>
    </row>
    <row r="9" spans="1:37" x14ac:dyDescent="0.35">
      <c r="A9" t="s">
        <v>11</v>
      </c>
      <c r="B9" t="s">
        <v>8</v>
      </c>
      <c r="C9">
        <v>1993</v>
      </c>
      <c r="D9" s="7">
        <v>24800</v>
      </c>
      <c r="E9" s="1">
        <f t="shared" si="6"/>
        <v>0.21518987341772153</v>
      </c>
      <c r="F9">
        <v>70</v>
      </c>
      <c r="G9">
        <v>55</v>
      </c>
      <c r="H9">
        <v>8750</v>
      </c>
      <c r="I9">
        <v>7750</v>
      </c>
      <c r="J9">
        <v>7000</v>
      </c>
      <c r="K9">
        <f t="shared" si="1"/>
        <v>16500</v>
      </c>
      <c r="L9">
        <f t="shared" si="2"/>
        <v>23500</v>
      </c>
      <c r="M9">
        <v>3</v>
      </c>
      <c r="N9">
        <v>8</v>
      </c>
      <c r="O9">
        <v>14</v>
      </c>
      <c r="P9">
        <f>O9+M9*(H9-2000)/1000</f>
        <v>34.25</v>
      </c>
      <c r="Q9" s="10">
        <f>(F9-P9)/F9</f>
        <v>0.51071428571428568</v>
      </c>
      <c r="R9">
        <f t="shared" si="3"/>
        <v>29.112500000000001</v>
      </c>
      <c r="S9">
        <f t="shared" si="4"/>
        <v>49.862499999999997</v>
      </c>
    </row>
    <row r="10" spans="1:37" x14ac:dyDescent="0.35">
      <c r="A10" t="s">
        <v>12</v>
      </c>
      <c r="B10" t="s">
        <v>8</v>
      </c>
      <c r="C10">
        <v>1993</v>
      </c>
      <c r="D10" s="7">
        <v>29900</v>
      </c>
      <c r="E10" s="1">
        <f>(D$11-D10)/D$11</f>
        <v>5.3797468354430382E-2</v>
      </c>
      <c r="F10">
        <v>55</v>
      </c>
      <c r="G10">
        <v>45</v>
      </c>
      <c r="H10">
        <v>7000</v>
      </c>
      <c r="I10">
        <v>5750</v>
      </c>
      <c r="J10">
        <v>5750</v>
      </c>
      <c r="K10">
        <f t="shared" si="1"/>
        <v>12750</v>
      </c>
      <c r="L10">
        <f t="shared" si="2"/>
        <v>18500</v>
      </c>
      <c r="M10">
        <v>3.5</v>
      </c>
      <c r="N10">
        <v>8</v>
      </c>
      <c r="O10">
        <v>14</v>
      </c>
      <c r="P10">
        <f>O10+M10*(H10-2000)/1000</f>
        <v>31.5</v>
      </c>
      <c r="Q10" s="10">
        <f>(F10-P10)/F10</f>
        <v>0.42727272727272725</v>
      </c>
      <c r="R10">
        <f t="shared" si="3"/>
        <v>26.774999999999999</v>
      </c>
      <c r="S10">
        <f t="shared" si="4"/>
        <v>40.274999999999999</v>
      </c>
    </row>
    <row r="11" spans="1:37" x14ac:dyDescent="0.35">
      <c r="A11" t="s">
        <v>13</v>
      </c>
      <c r="B11" t="s">
        <v>8</v>
      </c>
      <c r="C11">
        <v>1993</v>
      </c>
      <c r="D11" s="7">
        <v>31600</v>
      </c>
      <c r="E11" s="1">
        <v>0</v>
      </c>
      <c r="F11">
        <v>45</v>
      </c>
      <c r="G11">
        <v>35</v>
      </c>
      <c r="H11">
        <v>7000</v>
      </c>
      <c r="I11">
        <v>5750</v>
      </c>
      <c r="J11">
        <v>5750</v>
      </c>
      <c r="K11">
        <f t="shared" si="1"/>
        <v>12750</v>
      </c>
      <c r="L11">
        <f t="shared" si="2"/>
        <v>18500</v>
      </c>
      <c r="M11">
        <v>4.0999999999999996</v>
      </c>
      <c r="N11">
        <v>8</v>
      </c>
      <c r="O11">
        <v>15</v>
      </c>
      <c r="P11">
        <f>O11+M11*(H11-2000)/1000</f>
        <v>35.5</v>
      </c>
      <c r="Q11" s="10">
        <f>(F11-P11)/F11</f>
        <v>0.21111111111111111</v>
      </c>
      <c r="R11">
        <f t="shared" si="3"/>
        <v>30.175000000000001</v>
      </c>
      <c r="S11">
        <f t="shared" si="4"/>
        <v>29.675000000000001</v>
      </c>
    </row>
    <row r="12" spans="1:37" x14ac:dyDescent="0.35">
      <c r="A12" t="s">
        <v>27</v>
      </c>
      <c r="B12" t="s">
        <v>28</v>
      </c>
      <c r="C12">
        <v>1993</v>
      </c>
      <c r="D12" s="8">
        <v>32000</v>
      </c>
      <c r="E12" s="1">
        <v>0</v>
      </c>
      <c r="F12" s="2">
        <v>66</v>
      </c>
      <c r="G12" s="2">
        <f>F12*0.8</f>
        <v>52.800000000000004</v>
      </c>
      <c r="H12">
        <v>8000</v>
      </c>
      <c r="I12">
        <v>6000</v>
      </c>
      <c r="J12">
        <v>6000</v>
      </c>
      <c r="K12">
        <f t="shared" si="1"/>
        <v>14000</v>
      </c>
      <c r="L12">
        <f t="shared" si="2"/>
        <v>20000</v>
      </c>
      <c r="M12" s="9">
        <v>7</v>
      </c>
      <c r="N12">
        <v>10</v>
      </c>
      <c r="O12">
        <v>17</v>
      </c>
      <c r="P12">
        <f>O12+M12*(H12-2000)/1000</f>
        <v>59</v>
      </c>
      <c r="Q12" s="10">
        <f>(F12-P12)/F12</f>
        <v>0.10606060606060606</v>
      </c>
      <c r="R12">
        <f t="shared" si="3"/>
        <v>50.15</v>
      </c>
      <c r="S12">
        <f t="shared" si="4"/>
        <v>43.95</v>
      </c>
    </row>
    <row r="13" spans="1:37" x14ac:dyDescent="0.35">
      <c r="A13" t="s">
        <v>29</v>
      </c>
      <c r="B13" t="s">
        <v>28</v>
      </c>
      <c r="C13">
        <v>1993</v>
      </c>
      <c r="D13" s="8">
        <v>31000</v>
      </c>
      <c r="E13" s="1">
        <f>(D$12-D13)/D$12</f>
        <v>3.125E-2</v>
      </c>
      <c r="F13" s="2">
        <v>95</v>
      </c>
      <c r="G13" s="2">
        <f>F13*0.8</f>
        <v>76</v>
      </c>
      <c r="H13">
        <v>10000</v>
      </c>
      <c r="I13">
        <v>7000</v>
      </c>
      <c r="J13">
        <v>6000</v>
      </c>
      <c r="K13">
        <f t="shared" si="1"/>
        <v>17000</v>
      </c>
      <c r="L13">
        <f t="shared" si="2"/>
        <v>23000</v>
      </c>
      <c r="M13" s="9">
        <v>6</v>
      </c>
      <c r="N13">
        <v>10</v>
      </c>
      <c r="O13">
        <v>17</v>
      </c>
      <c r="P13">
        <f>O13+M13*(H13-2000)/1000</f>
        <v>65</v>
      </c>
      <c r="Q13" s="10">
        <f>(F13-P13)/F13</f>
        <v>0.31578947368421051</v>
      </c>
      <c r="R13">
        <f t="shared" si="3"/>
        <v>55.25</v>
      </c>
      <c r="S13">
        <f t="shared" si="4"/>
        <v>66.25</v>
      </c>
    </row>
    <row r="14" spans="1:37" x14ac:dyDescent="0.35">
      <c r="A14" t="s">
        <v>30</v>
      </c>
      <c r="B14" t="s">
        <v>28</v>
      </c>
      <c r="C14">
        <v>1993</v>
      </c>
      <c r="D14" s="8">
        <v>30000</v>
      </c>
      <c r="E14" s="1">
        <f t="shared" ref="E14:E19" si="7">(D$12-D14)/D$12</f>
        <v>6.25E-2</v>
      </c>
      <c r="F14" s="2">
        <v>105</v>
      </c>
      <c r="G14">
        <v>80</v>
      </c>
      <c r="H14">
        <v>11000</v>
      </c>
      <c r="I14">
        <v>8000</v>
      </c>
      <c r="J14">
        <v>7000</v>
      </c>
      <c r="K14">
        <f t="shared" si="1"/>
        <v>19000</v>
      </c>
      <c r="L14">
        <f t="shared" si="2"/>
        <v>26000</v>
      </c>
      <c r="M14" s="9">
        <v>6</v>
      </c>
      <c r="N14">
        <v>10</v>
      </c>
      <c r="O14">
        <v>17</v>
      </c>
      <c r="P14">
        <f>O14+M14*(H14-2000)/1000</f>
        <v>71</v>
      </c>
      <c r="Q14" s="10">
        <f>(F14-P14)/F14</f>
        <v>0.32380952380952382</v>
      </c>
      <c r="R14">
        <f t="shared" si="3"/>
        <v>60.35</v>
      </c>
      <c r="S14">
        <f t="shared" si="4"/>
        <v>69.349999999999994</v>
      </c>
    </row>
    <row r="15" spans="1:37" x14ac:dyDescent="0.35">
      <c r="A15" t="s">
        <v>31</v>
      </c>
      <c r="B15" t="s">
        <v>28</v>
      </c>
      <c r="C15">
        <v>1993</v>
      </c>
      <c r="D15" s="8">
        <v>27000</v>
      </c>
      <c r="E15" s="1">
        <f t="shared" si="7"/>
        <v>0.15625</v>
      </c>
      <c r="F15" s="2">
        <v>109</v>
      </c>
      <c r="G15">
        <f>F15*0.8</f>
        <v>87.2</v>
      </c>
      <c r="H15">
        <v>18000</v>
      </c>
      <c r="I15">
        <v>10000</v>
      </c>
      <c r="J15">
        <v>8000</v>
      </c>
      <c r="K15">
        <f t="shared" si="1"/>
        <v>28000</v>
      </c>
      <c r="L15">
        <f t="shared" si="2"/>
        <v>36000</v>
      </c>
      <c r="M15" s="9">
        <v>4</v>
      </c>
      <c r="N15">
        <v>10</v>
      </c>
      <c r="O15">
        <v>17</v>
      </c>
      <c r="P15">
        <f>O15+M15*(H15-2000)/1000</f>
        <v>81</v>
      </c>
      <c r="Q15" s="10">
        <f>(F15-P15)/F15</f>
        <v>0.25688073394495414</v>
      </c>
      <c r="R15">
        <f t="shared" si="3"/>
        <v>68.849999999999994</v>
      </c>
      <c r="S15">
        <f t="shared" si="4"/>
        <v>75.05</v>
      </c>
    </row>
    <row r="16" spans="1:37" x14ac:dyDescent="0.35">
      <c r="A16" t="s">
        <v>32</v>
      </c>
      <c r="B16" t="s">
        <v>28</v>
      </c>
      <c r="C16">
        <v>1993</v>
      </c>
      <c r="D16" s="8">
        <v>27000</v>
      </c>
      <c r="E16" s="1">
        <f t="shared" si="7"/>
        <v>0.15625</v>
      </c>
      <c r="F16" s="2">
        <v>109</v>
      </c>
      <c r="G16">
        <f>F16*0.8</f>
        <v>87.2</v>
      </c>
      <c r="H16">
        <v>18000</v>
      </c>
      <c r="I16">
        <v>10000</v>
      </c>
      <c r="J16">
        <v>8000</v>
      </c>
      <c r="K16">
        <f t="shared" si="1"/>
        <v>28000</v>
      </c>
      <c r="L16">
        <f t="shared" si="2"/>
        <v>36000</v>
      </c>
      <c r="M16" s="9">
        <v>4</v>
      </c>
      <c r="N16">
        <v>10</v>
      </c>
      <c r="O16">
        <v>17</v>
      </c>
      <c r="P16">
        <f>O16+M16*(H16-2000)/1000</f>
        <v>81</v>
      </c>
      <c r="Q16" s="10">
        <f>(F16-P16)/F16</f>
        <v>0.25688073394495414</v>
      </c>
      <c r="R16">
        <f t="shared" si="3"/>
        <v>68.849999999999994</v>
      </c>
      <c r="S16">
        <f t="shared" si="4"/>
        <v>75.05</v>
      </c>
    </row>
    <row r="17" spans="1:19" x14ac:dyDescent="0.35">
      <c r="A17" t="s">
        <v>33</v>
      </c>
      <c r="B17" t="s">
        <v>28</v>
      </c>
      <c r="C17">
        <v>1993</v>
      </c>
      <c r="D17" s="8">
        <v>23500</v>
      </c>
      <c r="E17" s="1">
        <f t="shared" si="7"/>
        <v>0.265625</v>
      </c>
      <c r="F17" s="2">
        <v>145</v>
      </c>
      <c r="G17">
        <f>F17*0.78</f>
        <v>113.10000000000001</v>
      </c>
      <c r="H17">
        <v>19000</v>
      </c>
      <c r="I17">
        <v>11000</v>
      </c>
      <c r="J17">
        <v>9000</v>
      </c>
      <c r="K17">
        <f t="shared" si="1"/>
        <v>30000</v>
      </c>
      <c r="L17">
        <f t="shared" si="2"/>
        <v>39000</v>
      </c>
      <c r="M17" s="9">
        <v>3.5</v>
      </c>
      <c r="N17">
        <v>10</v>
      </c>
      <c r="O17">
        <v>17</v>
      </c>
      <c r="P17">
        <f>O17+M17*(H17-2000)/1000</f>
        <v>76.5</v>
      </c>
      <c r="Q17" s="10">
        <f>(F17-P17)/F17</f>
        <v>0.47241379310344828</v>
      </c>
      <c r="R17">
        <f t="shared" si="3"/>
        <v>65.024999999999991</v>
      </c>
      <c r="S17">
        <f t="shared" si="4"/>
        <v>101.625</v>
      </c>
    </row>
    <row r="18" spans="1:19" x14ac:dyDescent="0.35">
      <c r="A18" t="s">
        <v>34</v>
      </c>
      <c r="B18" t="s">
        <v>28</v>
      </c>
      <c r="C18">
        <v>1993</v>
      </c>
      <c r="D18" s="8">
        <v>22000</v>
      </c>
      <c r="E18" s="1">
        <f t="shared" si="7"/>
        <v>0.3125</v>
      </c>
      <c r="F18" s="2">
        <v>163</v>
      </c>
      <c r="G18">
        <f t="shared" ref="G18:G20" si="8">F18*0.78</f>
        <v>127.14</v>
      </c>
      <c r="H18">
        <v>20000</v>
      </c>
      <c r="I18">
        <v>12000</v>
      </c>
      <c r="J18">
        <v>10000</v>
      </c>
      <c r="K18">
        <f t="shared" si="1"/>
        <v>32000</v>
      </c>
      <c r="L18">
        <f t="shared" si="2"/>
        <v>42000</v>
      </c>
      <c r="M18" s="9">
        <v>3</v>
      </c>
      <c r="N18">
        <v>10</v>
      </c>
      <c r="O18">
        <v>17</v>
      </c>
      <c r="P18">
        <f>O18+M18*(H18-2000)/1000</f>
        <v>71</v>
      </c>
      <c r="Q18" s="10">
        <f>(F18-P18)/F18</f>
        <v>0.56441717791411039</v>
      </c>
      <c r="R18">
        <f t="shared" si="3"/>
        <v>60.35</v>
      </c>
      <c r="S18">
        <f t="shared" si="4"/>
        <v>116.49000000000001</v>
      </c>
    </row>
    <row r="19" spans="1:19" x14ac:dyDescent="0.35">
      <c r="A19" t="s">
        <v>35</v>
      </c>
      <c r="B19" t="s">
        <v>28</v>
      </c>
      <c r="C19">
        <v>1993</v>
      </c>
      <c r="D19" s="8">
        <v>21600</v>
      </c>
      <c r="E19" s="1">
        <f t="shared" si="7"/>
        <v>0.32500000000000001</v>
      </c>
      <c r="F19" s="2">
        <v>180</v>
      </c>
      <c r="G19">
        <f t="shared" si="8"/>
        <v>140.4</v>
      </c>
      <c r="H19">
        <v>20000</v>
      </c>
      <c r="I19">
        <v>12000</v>
      </c>
      <c r="J19">
        <v>10000</v>
      </c>
      <c r="K19">
        <f t="shared" si="1"/>
        <v>32000</v>
      </c>
      <c r="L19">
        <f t="shared" si="2"/>
        <v>42000</v>
      </c>
      <c r="M19" s="9">
        <v>2.8</v>
      </c>
      <c r="N19">
        <v>10</v>
      </c>
      <c r="O19">
        <v>17</v>
      </c>
      <c r="P19">
        <f>O19+M19*(H19-2000)/1000</f>
        <v>67.400000000000006</v>
      </c>
      <c r="Q19" s="10">
        <f>(F19-P19)/F19</f>
        <v>0.62555555555555553</v>
      </c>
      <c r="R19">
        <f t="shared" si="3"/>
        <v>57.290000000000006</v>
      </c>
      <c r="S19">
        <f t="shared" si="4"/>
        <v>130.29000000000002</v>
      </c>
    </row>
    <row r="20" spans="1:19" x14ac:dyDescent="0.35">
      <c r="A20" t="s">
        <v>36</v>
      </c>
      <c r="B20" t="s">
        <v>28</v>
      </c>
      <c r="C20">
        <v>1993</v>
      </c>
      <c r="D20" s="8">
        <v>23300</v>
      </c>
      <c r="E20" s="1">
        <f>(D$12-D20)/D$12</f>
        <v>0.27187499999999998</v>
      </c>
      <c r="F20" s="2">
        <v>145</v>
      </c>
      <c r="G20">
        <f t="shared" si="8"/>
        <v>113.10000000000001</v>
      </c>
      <c r="H20">
        <v>19000</v>
      </c>
      <c r="I20">
        <v>11000</v>
      </c>
      <c r="J20">
        <v>9000</v>
      </c>
      <c r="K20">
        <f t="shared" si="1"/>
        <v>30000</v>
      </c>
      <c r="L20">
        <f t="shared" si="2"/>
        <v>39000</v>
      </c>
      <c r="M20" s="9">
        <v>3.5</v>
      </c>
      <c r="N20">
        <v>10</v>
      </c>
      <c r="O20">
        <v>17</v>
      </c>
      <c r="P20">
        <f>O20+M20*(H20-2000)/1000</f>
        <v>76.5</v>
      </c>
      <c r="Q20" s="10">
        <f>(F20-P20)/F20</f>
        <v>0.47241379310344828</v>
      </c>
      <c r="R20">
        <f t="shared" si="3"/>
        <v>65.024999999999991</v>
      </c>
      <c r="S20">
        <f t="shared" si="4"/>
        <v>101.625</v>
      </c>
    </row>
    <row r="23" spans="1:19" x14ac:dyDescent="0.35">
      <c r="A23" t="s">
        <v>44</v>
      </c>
      <c r="B23" t="s">
        <v>45</v>
      </c>
    </row>
    <row r="24" spans="1:19" x14ac:dyDescent="0.35">
      <c r="A24">
        <v>0</v>
      </c>
      <c r="B24">
        <v>0</v>
      </c>
    </row>
    <row r="25" spans="1:19" x14ac:dyDescent="0.35">
      <c r="A25">
        <v>1000</v>
      </c>
      <c r="B25">
        <v>10</v>
      </c>
    </row>
    <row r="26" spans="1:19" x14ac:dyDescent="0.35">
      <c r="A26">
        <v>2000</v>
      </c>
      <c r="B26">
        <v>15</v>
      </c>
    </row>
    <row r="27" spans="1:19" x14ac:dyDescent="0.35">
      <c r="A27">
        <v>3000</v>
      </c>
      <c r="B27">
        <f>B26+3</f>
        <v>18</v>
      </c>
    </row>
    <row r="28" spans="1:19" x14ac:dyDescent="0.35">
      <c r="A28">
        <v>4000</v>
      </c>
      <c r="B28">
        <f t="shared" ref="B28:B30" si="9">B27+3</f>
        <v>21</v>
      </c>
    </row>
    <row r="29" spans="1:19" x14ac:dyDescent="0.35">
      <c r="A29">
        <v>5000</v>
      </c>
      <c r="B29">
        <f t="shared" si="9"/>
        <v>24</v>
      </c>
    </row>
    <row r="30" spans="1:19" x14ac:dyDescent="0.35">
      <c r="A30">
        <v>6000</v>
      </c>
      <c r="B30">
        <f t="shared" si="9"/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workbookViewId="0">
      <selection activeCell="F1" sqref="F1:I20"/>
    </sheetView>
  </sheetViews>
  <sheetFormatPr defaultRowHeight="14.5" x14ac:dyDescent="0.35"/>
  <cols>
    <col min="5" max="6" width="11.36328125" customWidth="1"/>
  </cols>
  <sheetData>
    <row r="1" spans="1:34" s="4" customFormat="1" ht="25.5" customHeight="1" x14ac:dyDescent="0.35">
      <c r="A1" s="3" t="s">
        <v>0</v>
      </c>
      <c r="B1" s="4" t="s">
        <v>1</v>
      </c>
      <c r="C1" s="4" t="s">
        <v>14</v>
      </c>
      <c r="D1" s="5" t="s">
        <v>15</v>
      </c>
      <c r="E1" s="6" t="s">
        <v>16</v>
      </c>
      <c r="F1" s="4" t="s">
        <v>25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V1"/>
      <c r="W1"/>
      <c r="X1"/>
      <c r="Y1"/>
      <c r="Z1"/>
      <c r="AA1"/>
      <c r="AB1"/>
      <c r="AC1"/>
      <c r="AD1"/>
      <c r="AE1"/>
      <c r="AF1"/>
      <c r="AG1"/>
      <c r="AH1"/>
    </row>
    <row r="2" spans="1:34" x14ac:dyDescent="0.35">
      <c r="A2" t="s">
        <v>5</v>
      </c>
      <c r="B2" t="s">
        <v>6</v>
      </c>
      <c r="C2">
        <v>23500</v>
      </c>
      <c r="D2" s="1">
        <v>0</v>
      </c>
      <c r="E2" s="2">
        <v>53</v>
      </c>
      <c r="F2">
        <v>3</v>
      </c>
      <c r="G2">
        <v>0</v>
      </c>
      <c r="H2">
        <v>10</v>
      </c>
      <c r="I2">
        <v>15</v>
      </c>
      <c r="J2">
        <v>19</v>
      </c>
      <c r="K2">
        <v>23</v>
      </c>
      <c r="L2">
        <v>26</v>
      </c>
      <c r="M2">
        <v>29</v>
      </c>
      <c r="N2">
        <v>32</v>
      </c>
    </row>
    <row r="3" spans="1:34" ht="16" customHeight="1" x14ac:dyDescent="0.35">
      <c r="A3" t="s">
        <v>5</v>
      </c>
      <c r="B3" t="s">
        <v>6</v>
      </c>
      <c r="C3">
        <v>22000</v>
      </c>
      <c r="D3" s="1">
        <f>(C$2-C3)/C$2</f>
        <v>6.3829787234042548E-2</v>
      </c>
      <c r="E3" s="2">
        <v>75</v>
      </c>
      <c r="F3">
        <v>2.5</v>
      </c>
      <c r="G3">
        <v>0</v>
      </c>
      <c r="H3">
        <v>7</v>
      </c>
      <c r="I3">
        <v>11</v>
      </c>
      <c r="J3">
        <v>14</v>
      </c>
      <c r="K3">
        <v>17</v>
      </c>
      <c r="L3">
        <v>19</v>
      </c>
      <c r="M3">
        <v>22</v>
      </c>
      <c r="N3">
        <v>24</v>
      </c>
      <c r="Q3" s="4"/>
    </row>
    <row r="4" spans="1:34" x14ac:dyDescent="0.35">
      <c r="A4" t="s">
        <v>5</v>
      </c>
      <c r="B4" t="s">
        <v>6</v>
      </c>
      <c r="C4">
        <v>20000</v>
      </c>
      <c r="D4" s="1">
        <f t="shared" ref="D4:D5" si="0">(C$2-C4)/C$2</f>
        <v>0.14893617021276595</v>
      </c>
      <c r="E4" s="2">
        <v>140</v>
      </c>
      <c r="F4">
        <v>2</v>
      </c>
      <c r="G4">
        <v>0</v>
      </c>
      <c r="H4">
        <v>7</v>
      </c>
      <c r="I4">
        <v>10</v>
      </c>
      <c r="J4">
        <v>12</v>
      </c>
      <c r="K4">
        <v>14</v>
      </c>
      <c r="L4">
        <v>16</v>
      </c>
      <c r="M4">
        <v>18</v>
      </c>
      <c r="N4">
        <v>19</v>
      </c>
    </row>
    <row r="5" spans="1:34" x14ac:dyDescent="0.35">
      <c r="A5" t="s">
        <v>5</v>
      </c>
      <c r="B5" t="s">
        <v>6</v>
      </c>
      <c r="C5">
        <v>18500</v>
      </c>
      <c r="D5" s="1">
        <f t="shared" si="0"/>
        <v>0.21276595744680851</v>
      </c>
      <c r="E5" s="2">
        <v>145</v>
      </c>
      <c r="F5">
        <v>2</v>
      </c>
      <c r="G5">
        <v>0</v>
      </c>
      <c r="H5">
        <v>6</v>
      </c>
      <c r="I5">
        <v>9</v>
      </c>
      <c r="J5">
        <v>11</v>
      </c>
      <c r="K5">
        <v>13</v>
      </c>
      <c r="L5">
        <v>15</v>
      </c>
      <c r="M5">
        <v>16</v>
      </c>
      <c r="N5">
        <v>18</v>
      </c>
    </row>
    <row r="6" spans="1:34" x14ac:dyDescent="0.35">
      <c r="A6" t="s">
        <v>7</v>
      </c>
      <c r="B6" t="s">
        <v>8</v>
      </c>
      <c r="C6" s="7">
        <v>23040</v>
      </c>
      <c r="D6" s="1">
        <f t="shared" ref="D6:D9" si="1">(C$11-C6)/C$11</f>
        <v>0.27088607594936709</v>
      </c>
      <c r="E6">
        <v>100</v>
      </c>
      <c r="F6">
        <v>2.1</v>
      </c>
      <c r="G6">
        <v>0</v>
      </c>
      <c r="H6">
        <v>5</v>
      </c>
      <c r="I6">
        <v>9</v>
      </c>
      <c r="J6">
        <f>I6+$F$6</f>
        <v>11.1</v>
      </c>
      <c r="K6">
        <f>J6+$F$6</f>
        <v>13.2</v>
      </c>
      <c r="L6">
        <f>K6+$F$6</f>
        <v>15.299999999999999</v>
      </c>
      <c r="M6">
        <f>L6+$F$6</f>
        <v>17.399999999999999</v>
      </c>
      <c r="N6">
        <f>M6+$F$6</f>
        <v>19.5</v>
      </c>
    </row>
    <row r="7" spans="1:34" x14ac:dyDescent="0.35">
      <c r="A7" t="s">
        <v>9</v>
      </c>
      <c r="B7" t="s">
        <v>8</v>
      </c>
      <c r="C7" s="7">
        <v>24480</v>
      </c>
      <c r="D7" s="1">
        <f t="shared" si="1"/>
        <v>0.22531645569620254</v>
      </c>
      <c r="E7">
        <v>90</v>
      </c>
      <c r="F7">
        <v>2.2999999999999998</v>
      </c>
      <c r="G7">
        <v>0</v>
      </c>
      <c r="H7">
        <v>5</v>
      </c>
      <c r="I7">
        <v>9</v>
      </c>
      <c r="J7">
        <f>I7+$F$7</f>
        <v>11.3</v>
      </c>
      <c r="K7">
        <f>J7+$F$7</f>
        <v>13.600000000000001</v>
      </c>
      <c r="L7">
        <f>K7+$F$7</f>
        <v>15.900000000000002</v>
      </c>
      <c r="M7">
        <f>L7+$F$7</f>
        <v>18.200000000000003</v>
      </c>
      <c r="N7">
        <f>M7+$F$7</f>
        <v>20.500000000000004</v>
      </c>
    </row>
    <row r="8" spans="1:34" x14ac:dyDescent="0.35">
      <c r="A8" t="s">
        <v>10</v>
      </c>
      <c r="B8" t="s">
        <v>8</v>
      </c>
      <c r="C8" s="7">
        <v>24800</v>
      </c>
      <c r="D8" s="1">
        <f t="shared" si="1"/>
        <v>0.21518987341772153</v>
      </c>
      <c r="E8">
        <v>80</v>
      </c>
      <c r="F8">
        <v>3</v>
      </c>
      <c r="G8">
        <v>0</v>
      </c>
      <c r="H8">
        <v>6</v>
      </c>
      <c r="I8">
        <v>11</v>
      </c>
      <c r="J8">
        <f>I8+$F$8</f>
        <v>14</v>
      </c>
      <c r="K8">
        <f>J8+$F$8</f>
        <v>17</v>
      </c>
      <c r="L8">
        <f>K8+$F$8</f>
        <v>20</v>
      </c>
      <c r="M8">
        <f>L8+$F$8</f>
        <v>23</v>
      </c>
      <c r="N8">
        <f>M8+$F$8</f>
        <v>26</v>
      </c>
    </row>
    <row r="9" spans="1:34" x14ac:dyDescent="0.35">
      <c r="A9" t="s">
        <v>11</v>
      </c>
      <c r="B9" t="s">
        <v>8</v>
      </c>
      <c r="C9" s="7">
        <v>24800</v>
      </c>
      <c r="D9" s="1">
        <f t="shared" si="1"/>
        <v>0.21518987341772153</v>
      </c>
      <c r="E9">
        <v>70</v>
      </c>
      <c r="F9">
        <v>3</v>
      </c>
      <c r="G9">
        <v>0</v>
      </c>
      <c r="H9">
        <v>8</v>
      </c>
      <c r="I9">
        <v>14</v>
      </c>
      <c r="J9">
        <f>I9+$F$9</f>
        <v>17</v>
      </c>
      <c r="K9">
        <f>J9+$F$9</f>
        <v>20</v>
      </c>
      <c r="L9">
        <f>K9+$F$9</f>
        <v>23</v>
      </c>
      <c r="M9">
        <f>L9+$F$9</f>
        <v>26</v>
      </c>
      <c r="N9">
        <f>M9+$F$9</f>
        <v>29</v>
      </c>
    </row>
    <row r="10" spans="1:34" x14ac:dyDescent="0.35">
      <c r="A10" t="s">
        <v>12</v>
      </c>
      <c r="B10" t="s">
        <v>8</v>
      </c>
      <c r="C10" s="7">
        <v>29900</v>
      </c>
      <c r="D10" s="1">
        <f>(C$11-C10)/C$11</f>
        <v>5.3797468354430382E-2</v>
      </c>
      <c r="E10">
        <v>55</v>
      </c>
      <c r="F10">
        <v>3.5</v>
      </c>
      <c r="G10">
        <v>0</v>
      </c>
      <c r="H10">
        <v>8</v>
      </c>
      <c r="I10">
        <v>14</v>
      </c>
      <c r="J10">
        <f>I10+$F$10</f>
        <v>17.5</v>
      </c>
      <c r="K10">
        <f>J10+$F$10</f>
        <v>21</v>
      </c>
      <c r="L10">
        <f>K10+$F$10</f>
        <v>24.5</v>
      </c>
      <c r="M10">
        <f>L10+$F$10</f>
        <v>28</v>
      </c>
      <c r="N10">
        <f>M10+$F$10</f>
        <v>31.5</v>
      </c>
    </row>
    <row r="11" spans="1:34" x14ac:dyDescent="0.35">
      <c r="A11" t="s">
        <v>13</v>
      </c>
      <c r="B11" t="s">
        <v>8</v>
      </c>
      <c r="C11" s="7">
        <v>31600</v>
      </c>
      <c r="D11" s="1">
        <v>0</v>
      </c>
      <c r="E11">
        <v>45</v>
      </c>
      <c r="F11">
        <v>4.0999999999999996</v>
      </c>
      <c r="G11">
        <v>0</v>
      </c>
      <c r="H11">
        <v>8</v>
      </c>
      <c r="I11">
        <v>15</v>
      </c>
      <c r="J11">
        <f>I11+$F$11</f>
        <v>19.100000000000001</v>
      </c>
      <c r="K11">
        <f>J11+$F$11</f>
        <v>23.200000000000003</v>
      </c>
      <c r="L11">
        <f>K11+$F$11</f>
        <v>27.300000000000004</v>
      </c>
      <c r="M11">
        <f>L11+$F$11</f>
        <v>31.400000000000006</v>
      </c>
      <c r="N11">
        <f>M11+$F$11</f>
        <v>35.500000000000007</v>
      </c>
    </row>
    <row r="12" spans="1:34" x14ac:dyDescent="0.35">
      <c r="A12" t="s">
        <v>27</v>
      </c>
      <c r="B12" t="s">
        <v>28</v>
      </c>
      <c r="C12" s="8">
        <v>32000</v>
      </c>
      <c r="D12" s="1">
        <v>0</v>
      </c>
      <c r="E12" s="2">
        <v>66</v>
      </c>
      <c r="F12" s="9">
        <v>7</v>
      </c>
      <c r="G12" s="2">
        <v>0</v>
      </c>
      <c r="H12">
        <v>10</v>
      </c>
      <c r="I12">
        <v>17</v>
      </c>
      <c r="J12" s="9">
        <f t="shared" ref="J12:N20" si="2">I12+$F12</f>
        <v>24</v>
      </c>
      <c r="K12" s="9">
        <f t="shared" si="2"/>
        <v>31</v>
      </c>
      <c r="L12" s="9">
        <f t="shared" si="2"/>
        <v>38</v>
      </c>
      <c r="M12" s="9">
        <f t="shared" si="2"/>
        <v>45</v>
      </c>
      <c r="N12" s="9">
        <f t="shared" si="2"/>
        <v>52</v>
      </c>
    </row>
    <row r="13" spans="1:34" x14ac:dyDescent="0.35">
      <c r="A13" t="s">
        <v>29</v>
      </c>
      <c r="B13" t="s">
        <v>28</v>
      </c>
      <c r="C13" s="8">
        <v>31000</v>
      </c>
      <c r="D13" s="1">
        <f>(C$12-C13)/C$12</f>
        <v>3.125E-2</v>
      </c>
      <c r="E13" s="2">
        <v>95</v>
      </c>
      <c r="F13" s="9">
        <v>6</v>
      </c>
      <c r="G13" s="2">
        <v>0</v>
      </c>
      <c r="H13">
        <v>10</v>
      </c>
      <c r="I13">
        <v>17</v>
      </c>
      <c r="J13" s="9">
        <f t="shared" si="2"/>
        <v>23</v>
      </c>
      <c r="K13" s="9">
        <f t="shared" si="2"/>
        <v>29</v>
      </c>
      <c r="L13" s="9">
        <f t="shared" si="2"/>
        <v>35</v>
      </c>
      <c r="M13" s="9">
        <f t="shared" si="2"/>
        <v>41</v>
      </c>
      <c r="N13" s="9">
        <f t="shared" si="2"/>
        <v>47</v>
      </c>
    </row>
    <row r="14" spans="1:34" x14ac:dyDescent="0.35">
      <c r="A14" t="s">
        <v>30</v>
      </c>
      <c r="B14" t="s">
        <v>28</v>
      </c>
      <c r="C14" s="8">
        <v>30000</v>
      </c>
      <c r="D14" s="1">
        <f t="shared" ref="D14:D20" si="3">(C$12-C14)/C$12</f>
        <v>6.25E-2</v>
      </c>
      <c r="E14" s="2">
        <v>105</v>
      </c>
      <c r="F14" s="9">
        <v>6</v>
      </c>
      <c r="G14" s="2">
        <v>0</v>
      </c>
      <c r="H14">
        <v>10</v>
      </c>
      <c r="I14">
        <v>17</v>
      </c>
      <c r="J14" s="9">
        <f t="shared" si="2"/>
        <v>23</v>
      </c>
      <c r="K14" s="9">
        <f t="shared" si="2"/>
        <v>29</v>
      </c>
      <c r="L14" s="9">
        <f t="shared" si="2"/>
        <v>35</v>
      </c>
      <c r="M14" s="9">
        <f t="shared" si="2"/>
        <v>41</v>
      </c>
      <c r="N14" s="9">
        <f t="shared" si="2"/>
        <v>47</v>
      </c>
    </row>
    <row r="15" spans="1:34" x14ac:dyDescent="0.35">
      <c r="A15" t="s">
        <v>31</v>
      </c>
      <c r="B15" t="s">
        <v>28</v>
      </c>
      <c r="C15" s="8">
        <v>27000</v>
      </c>
      <c r="D15" s="1">
        <f t="shared" si="3"/>
        <v>0.15625</v>
      </c>
      <c r="E15" s="2">
        <v>109</v>
      </c>
      <c r="F15" s="9">
        <v>4</v>
      </c>
      <c r="G15" s="2">
        <v>0</v>
      </c>
      <c r="H15">
        <v>10</v>
      </c>
      <c r="I15">
        <v>17</v>
      </c>
      <c r="J15" s="9">
        <f t="shared" si="2"/>
        <v>21</v>
      </c>
      <c r="K15" s="9">
        <f t="shared" si="2"/>
        <v>25</v>
      </c>
      <c r="L15" s="9">
        <f t="shared" si="2"/>
        <v>29</v>
      </c>
      <c r="M15" s="9">
        <f t="shared" si="2"/>
        <v>33</v>
      </c>
      <c r="N15" s="9">
        <f t="shared" si="2"/>
        <v>37</v>
      </c>
    </row>
    <row r="16" spans="1:34" x14ac:dyDescent="0.35">
      <c r="A16" t="s">
        <v>32</v>
      </c>
      <c r="B16" t="s">
        <v>28</v>
      </c>
      <c r="C16" s="8">
        <v>27000</v>
      </c>
      <c r="D16" s="1">
        <f t="shared" si="3"/>
        <v>0.15625</v>
      </c>
      <c r="E16" s="2">
        <v>109</v>
      </c>
      <c r="F16" s="9">
        <v>4</v>
      </c>
      <c r="G16" s="2">
        <v>0</v>
      </c>
      <c r="H16">
        <v>10</v>
      </c>
      <c r="I16">
        <v>17</v>
      </c>
      <c r="J16" s="9">
        <f t="shared" si="2"/>
        <v>21</v>
      </c>
      <c r="K16" s="9">
        <f t="shared" si="2"/>
        <v>25</v>
      </c>
      <c r="L16" s="9">
        <f t="shared" si="2"/>
        <v>29</v>
      </c>
      <c r="M16" s="9">
        <f t="shared" si="2"/>
        <v>33</v>
      </c>
      <c r="N16" s="9">
        <f t="shared" si="2"/>
        <v>37</v>
      </c>
    </row>
    <row r="17" spans="1:19" x14ac:dyDescent="0.35">
      <c r="A17" t="s">
        <v>33</v>
      </c>
      <c r="B17" t="s">
        <v>28</v>
      </c>
      <c r="C17" s="8">
        <v>23500</v>
      </c>
      <c r="D17" s="1">
        <f t="shared" si="3"/>
        <v>0.265625</v>
      </c>
      <c r="E17" s="2">
        <v>145</v>
      </c>
      <c r="F17" s="9">
        <v>3.5</v>
      </c>
      <c r="G17" s="2">
        <v>0</v>
      </c>
      <c r="H17">
        <v>10</v>
      </c>
      <c r="I17">
        <v>17</v>
      </c>
      <c r="J17" s="9">
        <f t="shared" si="2"/>
        <v>20.5</v>
      </c>
      <c r="K17" s="9">
        <f t="shared" si="2"/>
        <v>24</v>
      </c>
      <c r="L17" s="9">
        <f t="shared" si="2"/>
        <v>27.5</v>
      </c>
      <c r="M17" s="9">
        <f t="shared" si="2"/>
        <v>31</v>
      </c>
      <c r="N17" s="9">
        <f t="shared" si="2"/>
        <v>34.5</v>
      </c>
    </row>
    <row r="18" spans="1:19" x14ac:dyDescent="0.35">
      <c r="A18" t="s">
        <v>34</v>
      </c>
      <c r="B18" t="s">
        <v>28</v>
      </c>
      <c r="C18" s="8">
        <v>22000</v>
      </c>
      <c r="D18" s="1">
        <f t="shared" si="3"/>
        <v>0.3125</v>
      </c>
      <c r="E18" s="2">
        <v>163</v>
      </c>
      <c r="F18" s="9">
        <v>3</v>
      </c>
      <c r="G18" s="2">
        <v>0</v>
      </c>
      <c r="H18">
        <v>10</v>
      </c>
      <c r="I18">
        <v>17</v>
      </c>
      <c r="J18" s="9">
        <f t="shared" si="2"/>
        <v>20</v>
      </c>
      <c r="K18" s="9">
        <f t="shared" si="2"/>
        <v>23</v>
      </c>
      <c r="L18" s="9">
        <f t="shared" si="2"/>
        <v>26</v>
      </c>
      <c r="M18" s="9">
        <f t="shared" si="2"/>
        <v>29</v>
      </c>
      <c r="N18" s="9">
        <f t="shared" si="2"/>
        <v>32</v>
      </c>
    </row>
    <row r="19" spans="1:19" x14ac:dyDescent="0.35">
      <c r="A19" t="s">
        <v>35</v>
      </c>
      <c r="B19" t="s">
        <v>28</v>
      </c>
      <c r="C19" s="8">
        <v>21600</v>
      </c>
      <c r="D19" s="1">
        <f t="shared" si="3"/>
        <v>0.32500000000000001</v>
      </c>
      <c r="E19" s="2">
        <v>180</v>
      </c>
      <c r="F19" s="9">
        <v>2.8</v>
      </c>
      <c r="G19" s="2">
        <v>0</v>
      </c>
      <c r="H19">
        <v>10</v>
      </c>
      <c r="I19">
        <v>17</v>
      </c>
      <c r="J19" s="9">
        <f t="shared" si="2"/>
        <v>19.8</v>
      </c>
      <c r="K19" s="9">
        <f t="shared" si="2"/>
        <v>22.6</v>
      </c>
      <c r="L19" s="9">
        <f t="shared" si="2"/>
        <v>25.400000000000002</v>
      </c>
      <c r="M19" s="9">
        <f t="shared" si="2"/>
        <v>28.200000000000003</v>
      </c>
      <c r="N19" s="9">
        <f t="shared" si="2"/>
        <v>31.000000000000004</v>
      </c>
    </row>
    <row r="20" spans="1:19" x14ac:dyDescent="0.35">
      <c r="A20" t="s">
        <v>36</v>
      </c>
      <c r="B20" t="s">
        <v>28</v>
      </c>
      <c r="C20" s="8">
        <v>23300</v>
      </c>
      <c r="D20" s="1">
        <f t="shared" si="3"/>
        <v>0.27187499999999998</v>
      </c>
      <c r="E20" s="2">
        <v>145</v>
      </c>
      <c r="F20" s="9">
        <v>3.5</v>
      </c>
      <c r="G20" s="2">
        <v>0</v>
      </c>
      <c r="H20">
        <v>10</v>
      </c>
      <c r="I20">
        <v>17</v>
      </c>
      <c r="J20" s="9">
        <f t="shared" si="2"/>
        <v>20.5</v>
      </c>
      <c r="K20" s="9">
        <f t="shared" si="2"/>
        <v>24</v>
      </c>
      <c r="L20" s="9">
        <f t="shared" si="2"/>
        <v>27.5</v>
      </c>
      <c r="M20" s="9">
        <f t="shared" si="2"/>
        <v>31</v>
      </c>
      <c r="N20" s="9">
        <f t="shared" si="2"/>
        <v>34.5</v>
      </c>
      <c r="S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SV_cycle</vt:lpstr>
      <vt:lpstr>EGTdecay_cycle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Smith</dc:creator>
  <cp:lastModifiedBy>Emma Smith</cp:lastModifiedBy>
  <dcterms:created xsi:type="dcterms:W3CDTF">2015-06-05T18:17:20Z</dcterms:created>
  <dcterms:modified xsi:type="dcterms:W3CDTF">2025-11-17T17:39:28Z</dcterms:modified>
</cp:coreProperties>
</file>